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<sst xmlns="http://schemas.openxmlformats.org/spreadsheetml/2006/main" count="2041" uniqueCount="993">
  <si>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</si>
  <si>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</si>
  <si>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</si>
  <si>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</si>
  <si>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</si>
  <si>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</si>
  <si>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</si>
  <si>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</si>
  <si>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</si>
  <si>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</si>
  <si>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</si>
  <si>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</si>
  <si>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</si>
  <si>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</si>
  <si>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</si>
  <si>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</si>
  <si>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</si>
  <si>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</si>
  <si>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</si>
  <si>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</si>
  <si>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</si>
  <si>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</si>
  <si>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</si>
  <si>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</si>
  <si>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</si>
  <si>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</si>
  <si>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</si>
  <si>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</si>
  <si>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</si>
  <si>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</si>
  <si>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</si>
  <si>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</si>
  <si>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</si>
  <si>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</si>
  <si>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</si>
  <si>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</si>
  <si>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</si>
  <si>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</si>
  <si>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</si>
  <si>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</si>
  <si>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</si>
  <si>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</si>
  <si>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</si>
  <si>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</si>
  <si>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</si>
  <si>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</si>
  <si>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</si>
  <si>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</si>
  <si>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</si>
  <si>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</si>
  <si>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</si>
  <si>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</si>
  <si>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</si>
  <si>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</si>
  <si>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</si>
  <si>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</si>
  <si>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</si>
  <si>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</si>
  <si>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</si>
  <si>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</si>
  <si>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</si>
  <si>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</si>
  <si>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</si>
  <si>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</si>
  <si>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</si>
  <si>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</si>
  <si>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</si>
  <si>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</si>
  <si>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</si>
  <si>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</si>
  <si>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</si>
  <si>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</si>
  <si>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</si>
  <si>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</si>
  <si>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</si>
  <si>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</si>
  <si>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</si>
  <si>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</si>
  <si>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</si>
  <si>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</si>
  <si>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</si>
  <si>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</si>
  <si>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</si>
  <si>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</si>
  <si>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</si>
  <si>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</si>
  <si>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</si>
  <si>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</si>
  <si>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</si>
  <si>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</si>
  <si>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</si>
  <si>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</si>
  <si>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</si>
  <si>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</si>
  <si>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</si>
  <si>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</si>
  <si>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</si>
  <si>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</si>
  <si>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</si>
  <si>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</si>
  <si>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</si>
  <si>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</si>
  <si>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</si>
  <si>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</si>
  <si>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</si>
  <si>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</si>
  <si>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</si>
  <si>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</si>
  <si>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</si>
  <si>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</si>
  <si>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</si>
  <si>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</si>
  <si>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</si>
  <si>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</si>
  <si>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</si>
  <si>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</si>
  <si>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</si>
  <si>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</si>
  <si>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</si>
  <si>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</si>
  <si>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</si>
  <si>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</si>
  <si>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</si>
  <si>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</si>
  <si>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</si>
  <si>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</si>
  <si>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</si>
  <si>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</si>
  <si>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</si>
  <si>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</si>
  <si>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</si>
  <si>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</si>
  <si>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</si>
  <si>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</si>
  <si>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</si>
  <si>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</si>
  <si>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</si>
  <si>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</si>
  <si>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</si>
  <si>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</si>
  <si>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</si>
  <si>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</si>
  <si>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</si>
  <si>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</si>
  <si>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</si>
  <si>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</si>
  <si>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</si>
  <si>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</si>
  <si>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</si>
  <si>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</si>
  <si>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</si>
  <si>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</si>
  <si>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</si>
  <si>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</si>
  <si>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</si>
  <si>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</si>
  <si>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</si>
  <si>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</si>
  <si>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</si>
  <si>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</si>
  <si>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</si>
  <si>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</si>
  <si>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</si>
  <si>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</si>
  <si>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</si>
  <si>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</si>
  <si>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</si>
  <si>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</si>
  <si>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</si>
  <si>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</si>
  <si>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</si>
  <si>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</si>
  <si>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</si>
  <si>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</si>
  <si>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</si>
  <si>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</si>
  <si>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</si>
  <si>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</si>
  <si>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</si>
  <si>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</si>
  <si>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</si>
  <si>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</si>
  <si>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</si>
  <si>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</si>
  <si>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</si>
  <si>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</si>
  <si>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</si>
  <si>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</si>
  <si>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</si>
  <si>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</si>
  <si>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</si>
  <si>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</si>
  <si>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</si>
  <si>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</si>
  <si>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</si>
  <si>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</si>
  <si>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</si>
  <si>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</si>
  <si>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</si>
  <si>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</si>
  <si>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</si>
  <si>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</si>
  <si>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</si>
  <si>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</si>
  <si>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</si>
  <si>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</si>
  <si>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</si>
  <si>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</si>
  <si>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</si>
  <si>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</si>
  <si>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</si>
  <si>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</si>
  <si>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</si>
  <si>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</si>
  <si>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</si>
  <si>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</si>
  <si>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</si>
  <si>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</si>
  <si>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</si>
  <si>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</si>
  <si>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</si>
  <si>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</si>
  <si>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</si>
  <si>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</si>
  <si>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</si>
  <si>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</si>
  <si>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</si>
  <si>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</si>
  <si>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</si>
  <si>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</si>
  <si>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</si>
  <si>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</si>
  <si>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</si>
  <si>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</si>
  <si>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</si>
  <si>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</si>
  <si>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</si>
  <si>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</si>
  <si>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</si>
  <si>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</si>
  <si>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</si>
  <si>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</si>
  <si>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</si>
  <si>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</si>
  <si>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</si>
  <si>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</si>
  <si>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</si>
  <si>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</si>
  <si>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</si>
  <si>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</si>
  <si>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</si>
  <si>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</si>
  <si>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</si>
  <si>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</si>
  <si>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</si>
  <si>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</si>
  <si>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</si>
  <si>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</si>
  <si>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</si>
  <si>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</si>
  <si>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</si>
  <si>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</si>
  <si>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</si>
  <si>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</si>
  <si>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</si>
  <si>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</si>
  <si>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</si>
  <si>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</si>
  <si>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</si>
  <si>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</si>
  <si>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</si>
  <si>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</si>
  <si>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</si>
  <si>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</si>
  <si>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</si>
  <si>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</si>
  <si>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</si>
  <si>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</si>
  <si>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</si>
  <si>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</si>
  <si>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</si>
  <si>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</si>
  <si>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</si>
  <si>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</si>
  <si>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</si>
  <si>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</si>
  <si>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</si>
  <si>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</si>
  <si>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</si>
  <si>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</si>
  <si>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</si>
  <si>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</si>
  <si>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</si>
  <si>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</si>
  <si>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</si>
  <si>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</si>
  <si>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</si>
  <si>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</si>
  <si>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</si>
  <si>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</si>
  <si>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</si>
  <si>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</si>
  <si>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</si>
  <si>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</si>
  <si>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</si>
  <si>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</si>
  <si>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</si>
  <si>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</si>
  <si>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</si>
  <si>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</si>
  <si>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</si>
  <si>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</si>
  <si>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</si>
  <si>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</si>
  <si>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</si>
  <si>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</si>
  <si>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</si>
  <si>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</si>
  <si>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</si>
  <si>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</si>
  <si>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</si>
  <si>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</si>
  <si>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</si>
  <si>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</si>
  <si>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</si>
  <si>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</si>
  <si>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</si>
  <si>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</si>
  <si>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</si>
  <si>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</si>
  <si>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</si>
  <si>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</si>
  <si>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</si>
  <si>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</si>
  <si>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</si>
  <si>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</si>
  <si>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</si>
  <si>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</si>
  <si>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</si>
  <si>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</si>
  <si>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</si>
  <si>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</si>
  <si>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</si>
  <si>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</si>
  <si>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</si>
  <si>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</si>
  <si>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</si>
  <si>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</si>
  <si>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</si>
  <si>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</si>
  <si>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</si>
  <si>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</si>
  <si>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</si>
  <si>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</si>
  <si>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</si>
  <si>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</si>
  <si>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</si>
  <si>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</si>
  <si>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</si>
  <si>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</si>
  <si>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</si>
  <si>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</si>
  <si>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</si>
  <si>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</si>
  <si>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</si>
  <si>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</si>
  <si>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</si>
  <si>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</si>
  <si>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</si>
  <si>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</si>
  <si>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</si>
  <si>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</si>
  <si>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</si>
  <si>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</si>
  <si>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</si>
  <si>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</si>
  <si>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</si>
  <si>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</si>
  <si>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</si>
  <si>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</si>
  <si>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</si>
  <si>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</si>
  <si>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</si>
  <si>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</si>
  <si>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</si>
  <si>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</si>
  <si>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</si>
  <si>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</si>
  <si>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</si>
  <si>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</si>
  <si>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</si>
  <si>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</si>
  <si>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</si>
  <si>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</si>
  <si>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</si>
  <si>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</si>
  <si>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</si>
  <si>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</si>
  <si>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</si>
  <si>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</si>
  <si>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</si>
  <si>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</si>
  <si>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</si>
  <si>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</si>
  <si>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</si>
  <si>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</si>
  <si>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</si>
  <si>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</si>
  <si>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</si>
  <si>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</si>
  <si>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</si>
  <si>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</si>
  <si>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</si>
  <si>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</si>
  <si>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</si>
  <si>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</si>
  <si>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</si>
  <si>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</si>
  <si>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</si>
  <si>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</si>
  <si>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</si>
  <si>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</si>
  <si>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</si>
  <si>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</si>
  <si>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</si>
  <si>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</si>
  <si>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</si>
  <si>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</si>
  <si>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</si>
  <si>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</si>
  <si>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</si>
  <si>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</si>
  <si>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</si>
  <si>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</si>
  <si>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</si>
  <si>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</si>
  <si>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</si>
  <si>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</si>
  <si>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</si>
  <si>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</si>
  <si>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</si>
  <si>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</si>
  <si>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</si>
  <si>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</si>
  <si>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</si>
  <si>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</si>
  <si>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</si>
  <si>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</si>
  <si>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</si>
  <si>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</si>
  <si>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</si>
  <si>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</si>
  <si>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</si>
  <si>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</si>
  <si>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</si>
  <si>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</si>
  <si>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</si>
  <si>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</si>
  <si>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</si>
  <si>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</si>
  <si>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</si>
  <si>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</si>
  <si>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</si>
  <si>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</si>
  <si>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</si>
  <si>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</si>
  <si>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</si>
  <si>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</si>
  <si>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</si>
  <si>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</si>
  <si>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</si>
  <si>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</si>
  <si>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</si>
  <si>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</si>
  <si>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</si>
  <si>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</si>
  <si>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</si>
  <si>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</si>
  <si>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</si>
  <si>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</si>
  <si>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</si>
  <si>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</si>
  <si>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</si>
  <si>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</si>
  <si>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</si>
  <si>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</si>
  <si>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</si>
  <si>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</si>
  <si>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</si>
  <si>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</si>
  <si>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</si>
  <si>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</si>
  <si>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</si>
  <si>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</si>
  <si>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</si>
  <si>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</si>
  <si>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</si>
  <si>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</si>
  <si>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</si>
  <si>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</si>
  <si>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</si>
  <si>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</si>
  <si>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</si>
  <si>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</si>
  <si>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</si>
  <si>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</si>
  <si>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</si>
  <si>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</si>
  <si>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</si>
  <si>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</si>
  <si>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</si>
  <si>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</si>
  <si>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</si>
  <si>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</si>
  <si>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</si>
  <si>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</si>
  <si>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</si>
  <si>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</si>
  <si>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</si>
  <si>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</si>
  <si>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</si>
  <si>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</si>
  <si>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</si>
  <si>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</si>
  <si>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</si>
  <si>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</si>
  <si>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</si>
  <si>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</si>
  <si>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</si>
  <si>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</si>
  <si>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</si>
  <si>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</si>
  <si>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</si>
  <si>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</si>
  <si>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</si>
  <si>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</si>
  <si>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</si>
  <si>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</si>
  <si>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</si>
  <si>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</si>
  <si>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</si>
  <si>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</si>
  <si>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</si>
  <si>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</si>
  <si>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</si>
  <si>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</si>
  <si>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</si>
  <si>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</si>
  <si>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</si>
  <si>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</si>
  <si>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</si>
  <si>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</si>
  <si>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</si>
  <si>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</si>
  <si>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</si>
  <si>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</si>
  <si>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</si>
  <si>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</si>
  <si>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</si>
  <si>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</si>
  <si>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</si>
  <si>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</si>
  <si>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</si>
  <si>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</si>
  <si>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</si>
  <si>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</si>
  <si>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</si>
  <si>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</si>
  <si>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</si>
  <si>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</si>
  <si>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</si>
  <si>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</si>
  <si>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</si>
  <si>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</si>
  <si>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</si>
  <si>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</si>
  <si>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</si>
  <si>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</si>
  <si>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</si>
  <si>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</si>
  <si>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</si>
  <si>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</si>
  <si>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</si>
  <si>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</si>
  <si>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</si>
  <si>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</si>
  <si>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</si>
  <si>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</si>
  <si>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</si>
  <si>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</si>
  <si>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</si>
  <si>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</si>
  <si>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</si>
  <si>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</si>
  <si>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</si>
  <si>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</si>
  <si>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</si>
  <si>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</si>
  <si>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</si>
  <si>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</si>
  <si>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</si>
  <si>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</si>
  <si>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</si>
  <si>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</si>
  <si>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</si>
  <si>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</si>
  <si>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</si>
  <si>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</si>
  <si>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</si>
  <si>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</si>
  <si>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</si>
  <si>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</si>
  <si>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</si>
  <si>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</si>
  <si>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</si>
  <si>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</si>
  <si>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</si>
  <si>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</si>
  <si>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</si>
  <si>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</si>
  <si>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</si>
  <si>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</si>
  <si>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</si>
  <si>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</si>
  <si>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</si>
  <si>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</si>
  <si>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</si>
  <si>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</si>
  <si>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</si>
  <si>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</si>
  <si>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</si>
  <si>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</si>
  <si>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</si>
  <si>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</si>
  <si>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</si>
  <si>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</si>
  <si>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</si>
  <si>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</si>
  <si>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</si>
  <si>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</si>
  <si>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</si>
  <si>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</si>
  <si>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</si>
  <si>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</si>
  <si>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</si>
  <si>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</si>
  <si>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</si>
  <si>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</si>
  <si>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</si>
  <si>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</si>
  <si>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</si>
  <si>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</si>
  <si>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</si>
  <si>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</si>
  <si>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</si>
  <si>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</si>
  <si>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</si>
  <si>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</si>
  <si>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</si>
  <si>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</si>
  <si>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</si>
  <si>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</si>
  <si>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</si>
  <si>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</si>
  <si>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</si>
  <si>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</si>
  <si>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</si>
  <si>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</si>
  <si>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</si>
  <si>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</si>
  <si>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</si>
  <si>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</si>
  <si>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</si>
  <si>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</si>
  <si>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</si>
  <si>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</si>
  <si>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</si>
  <si>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</si>
  <si>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</si>
  <si>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</si>
  <si>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</si>
  <si>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</si>
  <si>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</si>
  <si>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</si>
  <si>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</si>
  <si>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</si>
  <si>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</si>
  <si>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</si>
  <si>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</si>
  <si>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</si>
  <si>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</si>
  <si>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</si>
  <si>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</si>
  <si>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</si>
  <si>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</si>
  <si>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</si>
  <si>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</si>
  <si>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</si>
  <si>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</si>
  <si>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</si>
  <si>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</si>
  <si>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</si>
  <si>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</si>
  <si>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</si>
  <si>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</si>
  <si>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</si>
  <si>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</si>
  <si>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</si>
  <si>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</si>
  <si>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</si>
  <si>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</si>
  <si>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</si>
  <si>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</si>
  <si>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</si>
  <si>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</si>
  <si>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</si>
  <si>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</si>
  <si>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</si>
  <si>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</si>
  <si>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</si>
  <si>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</si>
  <si>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</si>
  <si>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</si>
  <si>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</si>
  <si>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</si>
  <si>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</si>
  <si>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</si>
  <si>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</si>
  <si>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</si>
  <si>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</si>
  <si>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</si>
  <si>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</si>
  <si>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</si>
  <si>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</si>
  <si>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</si>
  <si>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</si>
  <si>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</si>
  <si>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</si>
  <si>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</si>
  <si>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</si>
  <si>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</si>
  <si>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</si>
  <si>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</si>
  <si>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</si>
  <si>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</si>
  <si>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</si>
  <si>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</si>
  <si>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</si>
  <si>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</si>
  <si>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</si>
  <si>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</si>
  <si>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</si>
  <si>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</si>
  <si>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</si>
  <si>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</si>
  <si>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</si>
  <si>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</si>
  <si>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</si>
  <si>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</si>
  <si>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</si>
  <si>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</si>
  <si>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Mikrodosis: Legs-together OHNE Noodle-Support, ging gut (Tier-B-Signal)</t>
  </si>
  <si>
    <t>kontrolliert, kein Failure (Recovery ~4-5)</t>
  </si>
  <si>
    <t>leicht (RPE 5-6) -&gt; Progressionspotenzial</t>
  </si>
  <si>
    <t>hohe Parallettes, Fuesse erhoeht</t>
  </si>
  <si>
    <t>Kabelzug (besserer Pump)</t>
  </si>
  <si>
    <t>10,9,8</t>
  </si>
  <si>
    <t>Gewicht nicht genannt (~8 kg?)</t>
  </si>
  <si>
    <t>Maschine</t>
  </si>
  <si>
    <t>12,10</t>
  </si>
  <si>
    <t>Kabel 23,5+1,75</t>
  </si>
  <si>
    <t>Kabel 16,5+1,75</t>
  </si>
  <si>
    <t>1-2 Holds 4s+ aber sehr shaky; schwaechstes Level seit langem</t>
  </si>
  <si>
    <t>max ~1s Freeze dann Fall</t>
  </si>
  <si>
    <t>shaky</t>
  </si>
  <si>
    <t>3 Singles ok + 2 Fails</t>
  </si>
  <si>
    <t>Weg rauf Kampf, Momentum noetig; fuehlte sich nach WENIGER Kraft an (evtl. schwerer/BW hoch), nicht Ansteuerung</t>
  </si>
  <si>
    <t>Tuck Planche 8/8/6 s</t>
  </si>
  <si>
    <t>Wide grip; recht schwach @RPE8 (evtl. BW hoch)</t>
  </si>
  <si>
    <t>Endurance freistehend Parallettes 3x60s - steigt weiter (2x50 -&gt; 3x60)!</t>
  </si>
  <si>
    <t>4-5s+ Holds</t>
  </si>
  <si>
    <t>5s/3s/1-2s variabel - aber 5s zurueck (gestern nur 1s)</t>
  </si>
  <si>
    <t>konstant 3s+</t>
  </si>
  <si>
    <t>~2s</t>
  </si>
  <si>
    <t>schoene 5s+ Holds</t>
  </si>
  <si>
    <t>5s/3s/2s</t>
  </si>
  <si>
    <t>Kabel; 80x8 aber RPE 7 (letzte 80x10@7) -&gt; Schulter-sore/Fatigue, kein Progress heute</t>
  </si>
  <si>
    <t>7</t>
  </si>
  <si>
    <t>PROGRESS 70-&gt;75 (letzte 70x10,9,8@7)</t>
  </si>
  <si>
    <t>bewusst gehalten (Schulter-sore)</t>
  </si>
  <si>
    <t>35s</t>
  </si>
  <si>
    <t>Zeit-Progress 30-&gt;35s</t>
  </si>
  <si>
    <t>Mikrodosis Legs-together, ging recht gut</t>
  </si>
  <si>
    <t>PROGRESS 40-&gt;42,5 @RPE7</t>
  </si>
  <si>
    <t>RUECKEN: ab Satz 2-3 unterer Ruecken (nie zuvor bei Beinpresse); naechster Morgen Druck oberhalb Huefte, flexions-empfindlich, KEIN Ruck/kein scharfer Schmerz, ging schnell weg. Wahrsch. Bottom-Range Lumbalflexion unter Last</t>
  </si>
  <si>
    <t>PROGRESS Reps 10-&gt;12 @45</t>
  </si>
  <si>
    <t>80-&gt;90 (nur der Sprung verfuegbar), gut machbar</t>
  </si>
  <si>
    <t>Endurance 3x60s (im Zirkel)</t>
  </si>
  <si>
    <t>9</t>
  </si>
  <si>
    <t>liegende Bauchuebung 3x9 (im Zirkel); Pallof weggelassen</t>
  </si>
  <si>
    <t>3x40s/Seite (im Zirkel) - Progress</t>
  </si>
  <si>
    <t>Flag-Lean+Return, bis 3s Freeze, teils gehalten; KEIN Rueckenziehen</t>
  </si>
  <si>
    <t>Lean+Return: Balance im Center verloren, aber 2-3s gehalten (Trash-Tag war 1s)</t>
  </si>
  <si>
    <t>Straddle Flag Hold 3-4s alle Saetze</t>
  </si>
  <si>
    <t>Straddle Flag Hold ~3s</t>
  </si>
  <si>
    <t>gute Spannung, ribs down; Koerper schwer, NS aber gut</t>
  </si>
  <si>
    <t>Deep/High Push-ups (statt Pike)</t>
  </si>
  <si>
    <t>Ring Rows horizontal, rueckenschonend (statt Kabelzug); Zahlen ca.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</si>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</sst>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  <row r="73" spans="1:17">
      <c r="A73" s="25">
        <v>46239</v>
      </c>
      <c r="B73" s="6" t="s">
        <v>125</v>
      </c>
      <c r="C73" s="6">
        <v>2</v>
      </c>
      <c r="D73" s="6" t="s">
        <v>653</v>
      </c>
      <c r="E73" s="6">
        <f>IFERROR(INDEX('B7_Exercise_Library'!$D$4:$D$54,MATCH($D73,'B7_Exercise_Library'!$A$4:$A$54,0)),"")</f>
        <v>0</v>
      </c>
      <c r="F73" s="6" t="s">
        <v>693</v>
      </c>
      <c r="G73" s="6">
        <v>2</v>
      </c>
      <c r="I73" s="6">
        <v>0</v>
      </c>
      <c r="L73" s="6">
        <v>3</v>
      </c>
      <c r="O73" s="6">
        <v>4</v>
      </c>
      <c r="P73" s="4" t="s">
        <v>761</v>
      </c>
      <c r="Q73" s="6">
        <f>IF($B73="","",$B73&amp;"_W"&amp;$C73)</f>
        <v>0</v>
      </c>
    </row>
    <row r="74" spans="1:17">
      <c r="A74" s="25">
        <v>46239</v>
      </c>
      <c r="B74" s="6" t="s">
        <v>125</v>
      </c>
      <c r="C74" s="6">
        <v>2</v>
      </c>
      <c r="D74" s="6" t="s">
        <v>489</v>
      </c>
      <c r="E74" s="6">
        <f>IFERROR(INDEX('B7_Exercise_Library'!$D$4:$D$54,MATCH($D74,'B7_Exercise_Library'!$A$4:$A$54,0)),"")</f>
        <v>0</v>
      </c>
      <c r="F74" s="6" t="s">
        <v>693</v>
      </c>
      <c r="G74" s="6">
        <v>3</v>
      </c>
      <c r="H74" s="4" t="s">
        <v>694</v>
      </c>
      <c r="I74" s="6">
        <v>0</v>
      </c>
      <c r="J74" s="6">
        <v>7</v>
      </c>
      <c r="O74" s="6">
        <v>4</v>
      </c>
      <c r="P74" s="4" t="s">
        <v>762</v>
      </c>
      <c r="Q74" s="6">
        <f>IF($B74="","",$B74&amp;"_W"&amp;$C74)</f>
        <v>0</v>
      </c>
    </row>
    <row r="75" spans="1:17">
      <c r="A75" s="25">
        <v>46239</v>
      </c>
      <c r="B75" s="6" t="s">
        <v>125</v>
      </c>
      <c r="C75" s="6">
        <v>2</v>
      </c>
      <c r="D75" s="6" t="s">
        <v>570</v>
      </c>
      <c r="E75" s="6">
        <f>IFERROR(INDEX('B7_Exercise_Library'!$D$4:$D$54,MATCH($D75,'B7_Exercise_Library'!$A$4:$A$54,0)),"")</f>
        <v>0</v>
      </c>
      <c r="F75" s="6" t="s">
        <v>693</v>
      </c>
      <c r="G75" s="6">
        <v>3</v>
      </c>
      <c r="H75" s="4" t="s">
        <v>698</v>
      </c>
      <c r="I75" s="6">
        <v>0</v>
      </c>
      <c r="J75" s="6">
        <v>6</v>
      </c>
      <c r="O75" s="6">
        <v>4</v>
      </c>
      <c r="P75" s="4" t="s">
        <v>763</v>
      </c>
      <c r="Q75" s="6">
        <f>IF($B75="","",$B75&amp;"_W"&amp;$C75)</f>
        <v>0</v>
      </c>
    </row>
    <row r="76" spans="1:17">
      <c r="A76" s="25">
        <v>46239</v>
      </c>
      <c r="B76" s="6" t="s">
        <v>125</v>
      </c>
      <c r="C76" s="6">
        <v>2</v>
      </c>
      <c r="D76" s="6" t="s">
        <v>574</v>
      </c>
      <c r="E76" s="6">
        <f>IFERROR(INDEX('B7_Exercise_Library'!$D$4:$D$54,MATCH($D76,'B7_Exercise_Library'!$A$4:$A$54,0)),"")</f>
        <v>0</v>
      </c>
      <c r="F76" s="6" t="s">
        <v>693</v>
      </c>
      <c r="G76" s="6">
        <v>2</v>
      </c>
      <c r="H76" s="4" t="s">
        <v>707</v>
      </c>
      <c r="I76" s="6">
        <v>0</v>
      </c>
      <c r="J76" s="6">
        <v>7</v>
      </c>
      <c r="O76" s="6">
        <v>4</v>
      </c>
      <c r="P76" s="4" t="s">
        <v>764</v>
      </c>
      <c r="Q76" s="6">
        <f>IF($B76="","",$B76&amp;"_W"&amp;$C76)</f>
        <v>0</v>
      </c>
    </row>
    <row r="77" spans="1:17">
      <c r="A77" s="25">
        <v>46239</v>
      </c>
      <c r="B77" s="6" t="s">
        <v>125</v>
      </c>
      <c r="C77" s="6">
        <v>2</v>
      </c>
      <c r="D77" s="6" t="s">
        <v>539</v>
      </c>
      <c r="E77" s="6">
        <f>IFERROR(INDEX('B7_Exercise_Library'!$D$4:$D$54,MATCH($D77,'B7_Exercise_Library'!$A$4:$A$54,0)),"")</f>
        <v>0</v>
      </c>
      <c r="F77" s="6" t="s">
        <v>693</v>
      </c>
      <c r="G77" s="6">
        <v>3</v>
      </c>
      <c r="H77" s="4" t="s">
        <v>707</v>
      </c>
      <c r="I77" s="6">
        <v>80</v>
      </c>
      <c r="J77" s="6">
        <v>7</v>
      </c>
      <c r="O77" s="6">
        <v>4</v>
      </c>
      <c r="P77" s="4" t="s">
        <v>765</v>
      </c>
      <c r="Q77" s="6">
        <f>IF($B77="","",$B77&amp;"_W"&amp;$C77)</f>
        <v>0</v>
      </c>
    </row>
    <row r="78" spans="1:17">
      <c r="A78" s="25">
        <v>46239</v>
      </c>
      <c r="B78" s="6" t="s">
        <v>125</v>
      </c>
      <c r="C78" s="6">
        <v>2</v>
      </c>
      <c r="D78" s="6" t="s">
        <v>536</v>
      </c>
      <c r="E78" s="6">
        <f>IFERROR(INDEX('B7_Exercise_Library'!$D$4:$D$54,MATCH($D78,'B7_Exercise_Library'!$A$4:$A$54,0)),"")</f>
        <v>0</v>
      </c>
      <c r="F78" s="6" t="s">
        <v>693</v>
      </c>
      <c r="G78" s="6">
        <v>3</v>
      </c>
      <c r="H78" s="4" t="s">
        <v>766</v>
      </c>
      <c r="I78" s="6">
        <v>70</v>
      </c>
      <c r="J78" s="6">
        <v>7</v>
      </c>
      <c r="O78" s="6">
        <v>4</v>
      </c>
      <c r="Q78" s="6">
        <f>IF($B78="","",$B78&amp;"_W"&amp;$C78)</f>
        <v>0</v>
      </c>
    </row>
    <row r="79" spans="1:17">
      <c r="A79" s="25">
        <v>46239</v>
      </c>
      <c r="B79" s="6" t="s">
        <v>125</v>
      </c>
      <c r="C79" s="6">
        <v>2</v>
      </c>
      <c r="D79" s="6" t="s">
        <v>577</v>
      </c>
      <c r="E79" s="6">
        <f>IFERROR(INDEX('B7_Exercise_Library'!$D$4:$D$54,MATCH($D79,'B7_Exercise_Library'!$A$4:$A$54,0)),"")</f>
        <v>0</v>
      </c>
      <c r="F79" s="6" t="s">
        <v>693</v>
      </c>
      <c r="G79" s="6">
        <v>3</v>
      </c>
      <c r="H79" s="4" t="s">
        <v>698</v>
      </c>
      <c r="J79" s="6">
        <v>7</v>
      </c>
      <c r="O79" s="6">
        <v>4</v>
      </c>
      <c r="P79" s="4" t="s">
        <v>767</v>
      </c>
      <c r="Q79" s="6">
        <f>IF($B79="","",$B79&amp;"_W"&amp;$C79)</f>
        <v>0</v>
      </c>
    </row>
    <row r="80" spans="1:17">
      <c r="A80" s="25">
        <v>46239</v>
      </c>
      <c r="B80" s="6" t="s">
        <v>125</v>
      </c>
      <c r="C80" s="6">
        <v>2</v>
      </c>
      <c r="D80" s="6" t="s">
        <v>546</v>
      </c>
      <c r="E80" s="6">
        <f>IFERROR(INDEX('B7_Exercise_Library'!$D$4:$D$54,MATCH($D80,'B7_Exercise_Library'!$A$4:$A$54,0)),"")</f>
        <v>0</v>
      </c>
      <c r="F80" s="6" t="s">
        <v>693</v>
      </c>
      <c r="G80" s="6">
        <v>3</v>
      </c>
      <c r="H80" s="4" t="s">
        <v>698</v>
      </c>
      <c r="I80" s="6">
        <v>30</v>
      </c>
      <c r="J80" s="6">
        <v>7</v>
      </c>
      <c r="O80" s="6">
        <v>4</v>
      </c>
      <c r="P80" s="4" t="s">
        <v>768</v>
      </c>
      <c r="Q80" s="6">
        <f>IF($B80="","",$B80&amp;"_W"&amp;$C80)</f>
        <v>0</v>
      </c>
    </row>
    <row r="81" spans="1:17">
      <c r="A81" s="25">
        <v>46239</v>
      </c>
      <c r="B81" s="6" t="s">
        <v>125</v>
      </c>
      <c r="C81" s="6">
        <v>2</v>
      </c>
      <c r="D81" s="6" t="s">
        <v>585</v>
      </c>
      <c r="E81" s="6">
        <f>IFERROR(INDEX('B7_Exercise_Library'!$D$4:$D$54,MATCH($D81,'B7_Exercise_Library'!$A$4:$A$54,0)),"")</f>
        <v>0</v>
      </c>
      <c r="F81" s="6" t="s">
        <v>693</v>
      </c>
      <c r="G81" s="6">
        <v>2</v>
      </c>
      <c r="H81" s="4" t="s">
        <v>769</v>
      </c>
      <c r="I81" s="6">
        <v>25.25</v>
      </c>
      <c r="J81" s="6">
        <v>7</v>
      </c>
      <c r="O81" s="6">
        <v>4</v>
      </c>
      <c r="P81" s="4" t="s">
        <v>770</v>
      </c>
      <c r="Q81" s="6">
        <f>IF($B81="","",$B81&amp;"_W"&amp;$C81)</f>
        <v>0</v>
      </c>
    </row>
    <row r="82" spans="1:17">
      <c r="A82" s="25">
        <v>46239</v>
      </c>
      <c r="B82" s="6" t="s">
        <v>125</v>
      </c>
      <c r="C82" s="6">
        <v>2</v>
      </c>
      <c r="D82" s="6" t="s">
        <v>581</v>
      </c>
      <c r="E82" s="6">
        <f>IFERROR(INDEX('B7_Exercise_Library'!$D$4:$D$54,MATCH($D82,'B7_Exercise_Library'!$A$4:$A$54,0)),"")</f>
        <v>0</v>
      </c>
      <c r="F82" s="6" t="s">
        <v>693</v>
      </c>
      <c r="G82" s="6">
        <v>2</v>
      </c>
      <c r="H82" s="4" t="s">
        <v>698</v>
      </c>
      <c r="I82" s="6">
        <v>18.25</v>
      </c>
      <c r="J82" s="6">
        <v>7</v>
      </c>
      <c r="O82" s="6">
        <v>4</v>
      </c>
      <c r="P82" s="4" t="s">
        <v>771</v>
      </c>
      <c r="Q82" s="6">
        <f>IF($B82="","",$B82&amp;"_W"&amp;$C82)</f>
        <v>0</v>
      </c>
    </row>
    <row r="83" spans="1:17">
      <c r="A83" s="25">
        <v>46241</v>
      </c>
      <c r="B83" s="6" t="s">
        <v>96</v>
      </c>
      <c r="C83" s="6">
        <v>3</v>
      </c>
      <c r="D83" s="6" t="s">
        <v>641</v>
      </c>
      <c r="E83" s="6">
        <f>IFERROR(INDEX('B7_Exercise_Library'!$D$4:$D$54,MATCH($D83,'B7_Exercise_Library'!$A$4:$A$54,0)),"")</f>
        <v>0</v>
      </c>
      <c r="F83" s="6" t="s">
        <v>686</v>
      </c>
      <c r="G83" s="6">
        <v>3</v>
      </c>
      <c r="I83" s="6">
        <v>0</v>
      </c>
      <c r="L83" s="6">
        <v>2</v>
      </c>
      <c r="M83" s="6">
        <v>4</v>
      </c>
      <c r="O83" s="6">
        <v>3</v>
      </c>
      <c r="P83" s="4" t="s">
        <v>772</v>
      </c>
      <c r="Q83" s="6">
        <f>IF($B83="","",$B83&amp;"_W"&amp;$C83)</f>
        <v>0</v>
      </c>
    </row>
    <row r="84" spans="1:17">
      <c r="A84" s="25">
        <v>46241</v>
      </c>
      <c r="B84" s="6" t="s">
        <v>96</v>
      </c>
      <c r="C84" s="6">
        <v>3</v>
      </c>
      <c r="D84" s="6" t="s">
        <v>641</v>
      </c>
      <c r="E84" s="6">
        <f>IFERROR(INDEX('B7_Exercise_Library'!$D$4:$D$54,MATCH($D84,'B7_Exercise_Library'!$A$4:$A$54,0)),"")</f>
        <v>0</v>
      </c>
      <c r="F84" s="6" t="s">
        <v>688</v>
      </c>
      <c r="G84" s="6">
        <v>3</v>
      </c>
      <c r="I84" s="6">
        <v>0</v>
      </c>
      <c r="L84" s="6">
        <v>1</v>
      </c>
      <c r="M84" s="6">
        <v>1</v>
      </c>
      <c r="O84" s="6">
        <v>3</v>
      </c>
      <c r="P84" s="4" t="s">
        <v>773</v>
      </c>
      <c r="Q84" s="6">
        <f>IF($B84="","",$B84&amp;"_W"&amp;$C84)</f>
        <v>0</v>
      </c>
    </row>
    <row r="85" spans="1:17">
      <c r="A85" s="25">
        <v>46241</v>
      </c>
      <c r="B85" s="6" t="s">
        <v>96</v>
      </c>
      <c r="C85" s="6">
        <v>3</v>
      </c>
      <c r="D85" s="6" t="s">
        <v>647</v>
      </c>
      <c r="E85" s="6">
        <f>IFERROR(INDEX('B7_Exercise_Library'!$D$4:$D$54,MATCH($D85,'B7_Exercise_Library'!$A$4:$A$54,0)),"")</f>
        <v>0</v>
      </c>
      <c r="F85" s="6" t="s">
        <v>686</v>
      </c>
      <c r="G85" s="6">
        <v>3</v>
      </c>
      <c r="I85" s="6">
        <v>0</v>
      </c>
      <c r="L85" s="6">
        <v>2</v>
      </c>
      <c r="M85" s="6">
        <v>4</v>
      </c>
      <c r="O85" s="6">
        <v>3</v>
      </c>
      <c r="P85" s="4" t="s">
        <v>774</v>
      </c>
      <c r="Q85" s="6">
        <f>IF($B85="","",$B85&amp;"_W"&amp;$C85)</f>
        <v>0</v>
      </c>
    </row>
    <row r="86" spans="1:17">
      <c r="A86" s="25">
        <v>46241</v>
      </c>
      <c r="B86" s="6" t="s">
        <v>96</v>
      </c>
      <c r="C86" s="6">
        <v>3</v>
      </c>
      <c r="D86" s="6" t="s">
        <v>647</v>
      </c>
      <c r="E86" s="6">
        <f>IFERROR(INDEX('B7_Exercise_Library'!$D$4:$D$54,MATCH($D86,'B7_Exercise_Library'!$A$4:$A$54,0)),"")</f>
        <v>0</v>
      </c>
      <c r="F86" s="6" t="s">
        <v>688</v>
      </c>
      <c r="G86" s="6">
        <v>3</v>
      </c>
      <c r="I86" s="6">
        <v>0</v>
      </c>
      <c r="L86" s="6">
        <v>1</v>
      </c>
      <c r="M86" s="6">
        <v>1</v>
      </c>
      <c r="O86" s="6">
        <v>3</v>
      </c>
      <c r="Q86" s="6">
        <f>IF($B86="","",$B86&amp;"_W"&amp;$C86)</f>
        <v>0</v>
      </c>
    </row>
    <row r="87" spans="1:17">
      <c r="A87" s="25">
        <v>46241</v>
      </c>
      <c r="B87" s="6" t="s">
        <v>96</v>
      </c>
      <c r="C87" s="6">
        <v>3</v>
      </c>
      <c r="D87" s="6" t="s">
        <v>644</v>
      </c>
      <c r="E87" s="6">
        <f>IFERROR(INDEX('B7_Exercise_Library'!$D$4:$D$54,MATCH($D87,'B7_Exercise_Library'!$A$4:$A$54,0)),"")</f>
        <v>0</v>
      </c>
      <c r="F87" s="6" t="s">
        <v>686</v>
      </c>
      <c r="G87" s="6">
        <v>2</v>
      </c>
      <c r="I87" s="6">
        <v>0</v>
      </c>
      <c r="L87" s="6">
        <v>2</v>
      </c>
      <c r="M87" s="6">
        <v>4</v>
      </c>
      <c r="O87" s="6">
        <v>3</v>
      </c>
      <c r="Q87" s="6">
        <f>IF($B87="","",$B87&amp;"_W"&amp;$C87)</f>
        <v>0</v>
      </c>
    </row>
    <row r="88" spans="1:17">
      <c r="A88" s="25">
        <v>46241</v>
      </c>
      <c r="B88" s="6" t="s">
        <v>96</v>
      </c>
      <c r="C88" s="6">
        <v>3</v>
      </c>
      <c r="D88" s="6" t="s">
        <v>644</v>
      </c>
      <c r="E88" s="6">
        <f>IFERROR(INDEX('B7_Exercise_Library'!$D$4:$D$54,MATCH($D88,'B7_Exercise_Library'!$A$4:$A$54,0)),"")</f>
        <v>0</v>
      </c>
      <c r="F88" s="6" t="s">
        <v>688</v>
      </c>
      <c r="G88" s="6">
        <v>2</v>
      </c>
      <c r="I88" s="6">
        <v>0</v>
      </c>
      <c r="L88" s="6">
        <v>1</v>
      </c>
      <c r="M88" s="6">
        <v>1</v>
      </c>
      <c r="O88" s="6">
        <v>3</v>
      </c>
      <c r="Q88" s="6">
        <f>IF($B88="","",$B88&amp;"_W"&amp;$C88)</f>
        <v>0</v>
      </c>
    </row>
    <row r="89" spans="1:17">
      <c r="A89" s="25">
        <v>46241</v>
      </c>
      <c r="B89" s="6" t="s">
        <v>96</v>
      </c>
      <c r="C89" s="6">
        <v>3</v>
      </c>
      <c r="D89" s="6" t="s">
        <v>489</v>
      </c>
      <c r="E89" s="6">
        <f>IFERROR(INDEX('B7_Exercise_Library'!$D$4:$D$54,MATCH($D89,'B7_Exercise_Library'!$A$4:$A$54,0)),"")</f>
        <v>0</v>
      </c>
      <c r="F89" s="6" t="s">
        <v>693</v>
      </c>
      <c r="G89" s="6">
        <v>5</v>
      </c>
      <c r="H89" s="4" t="s">
        <v>775</v>
      </c>
      <c r="I89" s="6">
        <v>0</v>
      </c>
      <c r="J89" s="6">
        <v>8</v>
      </c>
      <c r="N89" s="6">
        <v>3</v>
      </c>
      <c r="O89" s="6">
        <v>3</v>
      </c>
      <c r="P89" s="4" t="s">
        <v>776</v>
      </c>
      <c r="Q89" s="6">
        <f>IF($B89="","",$B89&amp;"_W"&amp;$C89)</f>
        <v>0</v>
      </c>
    </row>
    <row r="90" spans="1:17">
      <c r="A90" s="25">
        <v>46241</v>
      </c>
      <c r="B90" s="6" t="s">
        <v>96</v>
      </c>
      <c r="C90" s="6">
        <v>3</v>
      </c>
      <c r="D90" s="6" t="s">
        <v>523</v>
      </c>
      <c r="E90" s="6">
        <f>IFERROR(INDEX('B7_Exercise_Library'!$D$4:$D$54,MATCH($D90,'B7_Exercise_Library'!$A$4:$A$54,0)),"")</f>
        <v>0</v>
      </c>
      <c r="F90" s="6" t="s">
        <v>693</v>
      </c>
      <c r="G90" s="6">
        <v>3</v>
      </c>
      <c r="I90" s="6">
        <v>0</v>
      </c>
      <c r="J90" s="6">
        <v>7</v>
      </c>
      <c r="M90" s="6">
        <v>8</v>
      </c>
      <c r="O90" s="6">
        <v>3</v>
      </c>
      <c r="P90" s="4" t="s">
        <v>777</v>
      </c>
      <c r="Q90" s="6">
        <f>IF($B90="","",$B90&amp;"_W"&amp;$C90)</f>
        <v>0</v>
      </c>
    </row>
    <row r="91" spans="1:17">
      <c r="A91" s="25">
        <v>46241</v>
      </c>
      <c r="B91" s="6" t="s">
        <v>96</v>
      </c>
      <c r="C91" s="6">
        <v>3</v>
      </c>
      <c r="D91" s="6" t="s">
        <v>526</v>
      </c>
      <c r="E91" s="6">
        <f>IFERROR(INDEX('B7_Exercise_Library'!$D$4:$D$54,MATCH($D91,'B7_Exercise_Library'!$A$4:$A$54,0)),"")</f>
        <v>0</v>
      </c>
      <c r="F91" s="6" t="s">
        <v>693</v>
      </c>
      <c r="G91" s="6">
        <v>3</v>
      </c>
      <c r="H91" s="4" t="s">
        <v>38</v>
      </c>
      <c r="I91" s="6">
        <v>35</v>
      </c>
      <c r="J91" s="6">
        <v>8</v>
      </c>
      <c r="O91" s="6">
        <v>3</v>
      </c>
      <c r="P91" s="4" t="s">
        <v>778</v>
      </c>
      <c r="Q91" s="6">
        <f>IF($B91="","",$B91&amp;"_W"&amp;$C91)</f>
        <v>0</v>
      </c>
    </row>
    <row r="92" spans="1:17">
      <c r="A92" s="25">
        <v>46241</v>
      </c>
      <c r="B92" s="6" t="s">
        <v>96</v>
      </c>
      <c r="C92" s="6">
        <v>3</v>
      </c>
      <c r="D92" s="6" t="s">
        <v>504</v>
      </c>
      <c r="E92" s="6">
        <f>IFERROR(INDEX('B7_Exercise_Library'!$D$4:$D$54,MATCH($D92,'B7_Exercise_Library'!$A$4:$A$54,0)),"")</f>
        <v>0</v>
      </c>
      <c r="F92" s="6" t="s">
        <v>693</v>
      </c>
      <c r="G92" s="6">
        <v>3</v>
      </c>
      <c r="I92" s="6">
        <v>0</v>
      </c>
      <c r="L92" s="6">
        <v>4</v>
      </c>
      <c r="M92" s="6">
        <v>60</v>
      </c>
      <c r="O92" s="6">
        <v>3</v>
      </c>
      <c r="P92" s="4" t="s">
        <v>779</v>
      </c>
      <c r="Q92" s="6">
        <f>IF($B92="","",$B92&amp;"_W"&amp;$C92)</f>
        <v>0</v>
      </c>
    </row>
    <row r="93" spans="1:17">
      <c r="A93" s="25">
        <v>46242</v>
      </c>
      <c r="B93" s="6" t="s">
        <v>104</v>
      </c>
      <c r="C93" s="6">
        <v>3</v>
      </c>
      <c r="D93" s="6" t="s">
        <v>641</v>
      </c>
      <c r="E93" s="6">
        <f>IFERROR(INDEX('B7_Exercise_Library'!$D$4:$D$54,MATCH($D93,'B7_Exercise_Library'!$A$4:$A$54,0)),"")</f>
        <v>0</v>
      </c>
      <c r="F93" s="6" t="s">
        <v>686</v>
      </c>
      <c r="G93" s="6">
        <v>3</v>
      </c>
      <c r="I93" s="6">
        <v>0</v>
      </c>
      <c r="L93" s="6">
        <v>3</v>
      </c>
      <c r="M93" s="6">
        <v>5</v>
      </c>
      <c r="O93" s="6">
        <v>3</v>
      </c>
      <c r="P93" s="4" t="s">
        <v>780</v>
      </c>
      <c r="Q93" s="6">
        <f>IF($B93="","",$B93&amp;"_W"&amp;$C93)</f>
        <v>0</v>
      </c>
    </row>
    <row r="94" spans="1:17">
      <c r="A94" s="25">
        <v>46242</v>
      </c>
      <c r="B94" s="6" t="s">
        <v>104</v>
      </c>
      <c r="C94" s="6">
        <v>3</v>
      </c>
      <c r="D94" s="6" t="s">
        <v>641</v>
      </c>
      <c r="E94" s="6">
        <f>IFERROR(INDEX('B7_Exercise_Library'!$D$4:$D$54,MATCH($D94,'B7_Exercise_Library'!$A$4:$A$54,0)),"")</f>
        <v>0</v>
      </c>
      <c r="F94" s="6" t="s">
        <v>688</v>
      </c>
      <c r="G94" s="6">
        <v>3</v>
      </c>
      <c r="I94" s="6">
        <v>0</v>
      </c>
      <c r="L94" s="6">
        <v>2</v>
      </c>
      <c r="M94" s="6">
        <v>5</v>
      </c>
      <c r="O94" s="6">
        <v>3</v>
      </c>
      <c r="P94" s="4" t="s">
        <v>781</v>
      </c>
      <c r="Q94" s="6">
        <f>IF($B94="","",$B94&amp;"_W"&amp;$C94)</f>
        <v>0</v>
      </c>
    </row>
    <row r="95" spans="1:17">
      <c r="A95" s="25">
        <v>46242</v>
      </c>
      <c r="B95" s="6" t="s">
        <v>104</v>
      </c>
      <c r="C95" s="6">
        <v>3</v>
      </c>
      <c r="D95" s="6" t="s">
        <v>647</v>
      </c>
      <c r="E95" s="6">
        <f>IFERROR(INDEX('B7_Exercise_Library'!$D$4:$D$54,MATCH($D95,'B7_Exercise_Library'!$A$4:$A$54,0)),"")</f>
        <v>0</v>
      </c>
      <c r="F95" s="6" t="s">
        <v>686</v>
      </c>
      <c r="G95" s="6">
        <v>3</v>
      </c>
      <c r="I95" s="6">
        <v>0</v>
      </c>
      <c r="L95" s="6">
        <v>3</v>
      </c>
      <c r="M95" s="6">
        <v>4</v>
      </c>
      <c r="O95" s="6">
        <v>3</v>
      </c>
      <c r="P95" s="4" t="s">
        <v>782</v>
      </c>
      <c r="Q95" s="6">
        <f>IF($B95="","",$B95&amp;"_W"&amp;$C95)</f>
        <v>0</v>
      </c>
    </row>
    <row r="96" spans="1:17">
      <c r="A96" s="25">
        <v>46242</v>
      </c>
      <c r="B96" s="6" t="s">
        <v>104</v>
      </c>
      <c r="C96" s="6">
        <v>3</v>
      </c>
      <c r="D96" s="6" t="s">
        <v>647</v>
      </c>
      <c r="E96" s="6">
        <f>IFERROR(INDEX('B7_Exercise_Library'!$D$4:$D$54,MATCH($D96,'B7_Exercise_Library'!$A$4:$A$54,0)),"")</f>
        <v>0</v>
      </c>
      <c r="F96" s="6" t="s">
        <v>688</v>
      </c>
      <c r="G96" s="6">
        <v>3</v>
      </c>
      <c r="I96" s="6">
        <v>0</v>
      </c>
      <c r="L96" s="6">
        <v>2</v>
      </c>
      <c r="M96" s="6">
        <v>2</v>
      </c>
      <c r="O96" s="6">
        <v>3</v>
      </c>
      <c r="P96" s="4" t="s">
        <v>783</v>
      </c>
      <c r="Q96" s="6">
        <f>IF($B96="","",$B96&amp;"_W"&amp;$C96)</f>
        <v>0</v>
      </c>
    </row>
    <row r="97" spans="1:17">
      <c r="A97" s="25">
        <v>46242</v>
      </c>
      <c r="B97" s="6" t="s">
        <v>104</v>
      </c>
      <c r="C97" s="6">
        <v>3</v>
      </c>
      <c r="D97" s="6" t="s">
        <v>644</v>
      </c>
      <c r="E97" s="6">
        <f>IFERROR(INDEX('B7_Exercise_Library'!$D$4:$D$54,MATCH($D97,'B7_Exercise_Library'!$A$4:$A$54,0)),"")</f>
        <v>0</v>
      </c>
      <c r="F97" s="6" t="s">
        <v>686</v>
      </c>
      <c r="G97" s="6">
        <v>3</v>
      </c>
      <c r="I97" s="6">
        <v>0</v>
      </c>
      <c r="L97" s="6">
        <v>3</v>
      </c>
      <c r="M97" s="6">
        <v>5</v>
      </c>
      <c r="O97" s="6">
        <v>3</v>
      </c>
      <c r="P97" s="4" t="s">
        <v>784</v>
      </c>
      <c r="Q97" s="6">
        <f>IF($B97="","",$B97&amp;"_W"&amp;$C97)</f>
        <v>0</v>
      </c>
    </row>
    <row r="98" spans="1:17">
      <c r="A98" s="25">
        <v>46242</v>
      </c>
      <c r="B98" s="6" t="s">
        <v>104</v>
      </c>
      <c r="C98" s="6">
        <v>3</v>
      </c>
      <c r="D98" s="6" t="s">
        <v>644</v>
      </c>
      <c r="E98" s="6">
        <f>IFERROR(INDEX('B7_Exercise_Library'!$D$4:$D$54,MATCH($D98,'B7_Exercise_Library'!$A$4:$A$54,0)),"")</f>
        <v>0</v>
      </c>
      <c r="F98" s="6" t="s">
        <v>688</v>
      </c>
      <c r="G98" s="6">
        <v>3</v>
      </c>
      <c r="I98" s="6">
        <v>0</v>
      </c>
      <c r="L98" s="6">
        <v>2</v>
      </c>
      <c r="M98" s="6">
        <v>5</v>
      </c>
      <c r="O98" s="6">
        <v>3</v>
      </c>
      <c r="P98" s="4" t="s">
        <v>785</v>
      </c>
      <c r="Q98" s="6">
        <f>IF($B98="","",$B98&amp;"_W"&amp;$C98)</f>
        <v>0</v>
      </c>
    </row>
    <row r="99" spans="1:17">
      <c r="A99" s="25">
        <v>46242</v>
      </c>
      <c r="B99" s="6" t="s">
        <v>104</v>
      </c>
      <c r="C99" s="6">
        <v>3</v>
      </c>
      <c r="D99" s="6" t="s">
        <v>539</v>
      </c>
      <c r="E99" s="6">
        <f>IFERROR(INDEX('B7_Exercise_Library'!$D$4:$D$54,MATCH($D99,'B7_Exercise_Library'!$A$4:$A$54,0)),"")</f>
        <v>0</v>
      </c>
      <c r="F99" s="6" t="s">
        <v>693</v>
      </c>
      <c r="G99" s="6">
        <v>3</v>
      </c>
      <c r="H99" s="4" t="s">
        <v>709</v>
      </c>
      <c r="I99" s="6">
        <v>80</v>
      </c>
      <c r="J99" s="6">
        <v>7</v>
      </c>
      <c r="O99" s="6">
        <v>3</v>
      </c>
      <c r="P99" s="4" t="s">
        <v>786</v>
      </c>
      <c r="Q99" s="6">
        <f>IF($B99="","",$B99&amp;"_W"&amp;$C99)</f>
        <v>0</v>
      </c>
    </row>
    <row r="100" spans="1:17">
      <c r="A100" s="25">
        <v>46242</v>
      </c>
      <c r="B100" s="6" t="s">
        <v>104</v>
      </c>
      <c r="C100" s="6">
        <v>3</v>
      </c>
      <c r="D100" s="6" t="s">
        <v>536</v>
      </c>
      <c r="E100" s="6">
        <f>IFERROR(INDEX('B7_Exercise_Library'!$D$4:$D$54,MATCH($D100,'B7_Exercise_Library'!$A$4:$A$54,0)),"")</f>
        <v>0</v>
      </c>
      <c r="F100" s="6" t="s">
        <v>693</v>
      </c>
      <c r="G100" s="6">
        <v>3</v>
      </c>
      <c r="H100" s="4" t="s">
        <v>787</v>
      </c>
      <c r="I100" s="6">
        <v>75</v>
      </c>
      <c r="J100" s="6">
        <v>7</v>
      </c>
      <c r="O100" s="6">
        <v>3</v>
      </c>
      <c r="P100" s="4" t="s">
        <v>788</v>
      </c>
      <c r="Q100" s="6">
        <f>IF($B100="","",$B100&amp;"_W"&amp;$C100)</f>
        <v>0</v>
      </c>
    </row>
    <row r="101" spans="1:17">
      <c r="A101" s="25">
        <v>46242</v>
      </c>
      <c r="B101" s="6" t="s">
        <v>104</v>
      </c>
      <c r="C101" s="6">
        <v>3</v>
      </c>
      <c r="D101" s="6" t="s">
        <v>546</v>
      </c>
      <c r="E101" s="6">
        <f>IFERROR(INDEX('B7_Exercise_Library'!$D$4:$D$54,MATCH($D101,'B7_Exercise_Library'!$A$4:$A$54,0)),"")</f>
        <v>0</v>
      </c>
      <c r="F101" s="6" t="s">
        <v>693</v>
      </c>
      <c r="G101" s="6">
        <v>2</v>
      </c>
      <c r="H101" s="4" t="s">
        <v>698</v>
      </c>
      <c r="I101" s="6">
        <v>30</v>
      </c>
      <c r="J101" s="6">
        <v>6</v>
      </c>
      <c r="O101" s="6">
        <v>3</v>
      </c>
      <c r="P101" s="4" t="s">
        <v>789</v>
      </c>
      <c r="Q101" s="6">
        <f>IF($B101="","",$B101&amp;"_W"&amp;$C101)</f>
        <v>0</v>
      </c>
    </row>
    <row r="102" spans="1:17">
      <c r="A102" s="25">
        <v>46242</v>
      </c>
      <c r="B102" s="6" t="s">
        <v>104</v>
      </c>
      <c r="C102" s="6">
        <v>3</v>
      </c>
      <c r="D102" s="6" t="s">
        <v>550</v>
      </c>
      <c r="E102" s="6">
        <f>IFERROR(INDEX('B7_Exercise_Library'!$D$4:$D$54,MATCH($D102,'B7_Exercise_Library'!$A$4:$A$54,0)),"")</f>
        <v>0</v>
      </c>
      <c r="F102" s="6" t="s">
        <v>693</v>
      </c>
      <c r="G102" s="6">
        <v>2</v>
      </c>
      <c r="H102" s="4" t="s">
        <v>698</v>
      </c>
      <c r="I102" s="6">
        <v>30</v>
      </c>
      <c r="J102" s="6">
        <v>7</v>
      </c>
      <c r="O102" s="6">
        <v>3</v>
      </c>
      <c r="Q102" s="6">
        <f>IF($B102="","",$B102&amp;"_W"&amp;$C102)</f>
        <v>0</v>
      </c>
    </row>
    <row r="103" spans="1:17">
      <c r="A103" s="25">
        <v>46242</v>
      </c>
      <c r="B103" s="6" t="s">
        <v>104</v>
      </c>
      <c r="C103" s="6">
        <v>3</v>
      </c>
      <c r="D103" s="6" t="s">
        <v>622</v>
      </c>
      <c r="E103" s="6">
        <f>IFERROR(INDEX('B7_Exercise_Library'!$D$4:$D$54,MATCH($D103,'B7_Exercise_Library'!$A$4:$A$54,0)),"")</f>
        <v>0</v>
      </c>
      <c r="F103" s="6" t="s">
        <v>693</v>
      </c>
      <c r="G103" s="6">
        <v>3</v>
      </c>
      <c r="H103" s="4" t="s">
        <v>790</v>
      </c>
      <c r="J103" s="6">
        <v>8</v>
      </c>
      <c r="M103" s="6">
        <v>35</v>
      </c>
      <c r="O103" s="6">
        <v>3</v>
      </c>
      <c r="P103" s="4" t="s">
        <v>791</v>
      </c>
      <c r="Q103" s="6">
        <f>IF($B103="","",$B103&amp;"_W"&amp;$C103)</f>
        <v>0</v>
      </c>
    </row>
    <row r="104" spans="1:17">
      <c r="A104" s="25">
        <v>46244</v>
      </c>
      <c r="B104" s="6" t="s">
        <v>111</v>
      </c>
      <c r="C104" s="6">
        <v>3</v>
      </c>
      <c r="D104" s="6" t="s">
        <v>653</v>
      </c>
      <c r="E104" s="6">
        <f>IFERROR(INDEX('B7_Exercise_Library'!$D$4:$D$54,MATCH($D104,'B7_Exercise_Library'!$A$4:$A$54,0)),"")</f>
        <v>0</v>
      </c>
      <c r="F104" s="6" t="s">
        <v>693</v>
      </c>
      <c r="G104" s="6">
        <v>2</v>
      </c>
      <c r="I104" s="6">
        <v>0</v>
      </c>
      <c r="L104" s="6">
        <v>3</v>
      </c>
      <c r="O104" s="6">
        <v>4</v>
      </c>
      <c r="P104" s="4" t="s">
        <v>792</v>
      </c>
      <c r="Q104" s="6">
        <f>IF($B104="","",$B104&amp;"_W"&amp;$C104)</f>
        <v>0</v>
      </c>
    </row>
    <row r="105" spans="1:17">
      <c r="A105" s="25">
        <v>46244</v>
      </c>
      <c r="B105" s="6" t="s">
        <v>111</v>
      </c>
      <c r="C105" s="6">
        <v>3</v>
      </c>
      <c r="D105" s="6" t="s">
        <v>589</v>
      </c>
      <c r="E105" s="6">
        <f>IFERROR(INDEX('B7_Exercise_Library'!$D$4:$D$54,MATCH($D105,'B7_Exercise_Library'!$A$4:$A$54,0)),"")</f>
        <v>0</v>
      </c>
      <c r="F105" s="6" t="s">
        <v>693</v>
      </c>
      <c r="G105" s="6">
        <v>3</v>
      </c>
      <c r="H105" s="4" t="s">
        <v>709</v>
      </c>
      <c r="I105" s="6">
        <v>42.5</v>
      </c>
      <c r="J105" s="6">
        <v>7</v>
      </c>
      <c r="O105" s="6">
        <v>4</v>
      </c>
      <c r="P105" s="4" t="s">
        <v>793</v>
      </c>
      <c r="Q105" s="6">
        <f>IF($B105="","",$B105&amp;"_W"&amp;$C105)</f>
        <v>0</v>
      </c>
    </row>
    <row r="106" spans="1:17">
      <c r="A106" s="25">
        <v>46244</v>
      </c>
      <c r="B106" s="6" t="s">
        <v>111</v>
      </c>
      <c r="C106" s="6">
        <v>3</v>
      </c>
      <c r="D106" s="6" t="s">
        <v>592</v>
      </c>
      <c r="E106" s="6">
        <f>IFERROR(INDEX('B7_Exercise_Library'!$D$4:$D$54,MATCH($D106,'B7_Exercise_Library'!$A$4:$A$54,0)),"")</f>
        <v>0</v>
      </c>
      <c r="F106" s="6" t="s">
        <v>693</v>
      </c>
      <c r="G106" s="6">
        <v>3</v>
      </c>
      <c r="H106" s="4" t="s">
        <v>698</v>
      </c>
      <c r="I106" s="6">
        <v>80</v>
      </c>
      <c r="J106" s="6">
        <v>8</v>
      </c>
      <c r="K106" s="6">
        <v>3</v>
      </c>
      <c r="O106" s="6">
        <v>4</v>
      </c>
      <c r="P106" s="4" t="s">
        <v>794</v>
      </c>
      <c r="Q106" s="6">
        <f>IF($B106="","",$B106&amp;"_W"&amp;$C106)</f>
        <v>0</v>
      </c>
    </row>
    <row r="107" spans="1:17">
      <c r="A107" s="25">
        <v>46244</v>
      </c>
      <c r="B107" s="6" t="s">
        <v>111</v>
      </c>
      <c r="C107" s="6">
        <v>3</v>
      </c>
      <c r="D107" s="6" t="s">
        <v>595</v>
      </c>
      <c r="E107" s="6">
        <f>IFERROR(INDEX('B7_Exercise_Library'!$D$4:$D$54,MATCH($D107,'B7_Exercise_Library'!$A$4:$A$54,0)),"")</f>
        <v>0</v>
      </c>
      <c r="F107" s="6" t="s">
        <v>693</v>
      </c>
      <c r="G107" s="6">
        <v>3</v>
      </c>
      <c r="H107" s="4" t="s">
        <v>698</v>
      </c>
      <c r="I107" s="6">
        <v>45</v>
      </c>
      <c r="J107" s="6">
        <v>7</v>
      </c>
      <c r="O107" s="6">
        <v>4</v>
      </c>
      <c r="P107" s="4" t="s">
        <v>795</v>
      </c>
      <c r="Q107" s="6">
        <f>IF($B107="","",$B107&amp;"_W"&amp;$C107)</f>
        <v>0</v>
      </c>
    </row>
    <row r="108" spans="1:17">
      <c r="A108" s="25">
        <v>46244</v>
      </c>
      <c r="B108" s="6" t="s">
        <v>111</v>
      </c>
      <c r="C108" s="6">
        <v>3</v>
      </c>
      <c r="D108" s="6" t="s">
        <v>605</v>
      </c>
      <c r="E108" s="6">
        <f>IFERROR(INDEX('B7_Exercise_Library'!$D$4:$D$54,MATCH($D108,'B7_Exercise_Library'!$A$4:$A$54,0)),"")</f>
        <v>0</v>
      </c>
      <c r="F108" s="6" t="s">
        <v>693</v>
      </c>
      <c r="G108" s="6">
        <v>3</v>
      </c>
      <c r="H108" s="4" t="s">
        <v>698</v>
      </c>
      <c r="I108" s="6">
        <v>90</v>
      </c>
      <c r="J108" s="6">
        <v>7</v>
      </c>
      <c r="O108" s="6">
        <v>4</v>
      </c>
      <c r="P108" s="4" t="s">
        <v>796</v>
      </c>
      <c r="Q108" s="6">
        <f>IF($B108="","",$B108&amp;"_W"&amp;$C108)</f>
        <v>0</v>
      </c>
    </row>
    <row r="109" spans="1:17">
      <c r="A109" s="25">
        <v>46244</v>
      </c>
      <c r="B109" s="6" t="s">
        <v>111</v>
      </c>
      <c r="C109" s="6">
        <v>3</v>
      </c>
      <c r="D109" s="6" t="s">
        <v>504</v>
      </c>
      <c r="E109" s="6">
        <f>IFERROR(INDEX('B7_Exercise_Library'!$D$4:$D$54,MATCH($D109,'B7_Exercise_Library'!$A$4:$A$54,0)),"")</f>
        <v>0</v>
      </c>
      <c r="F109" s="6" t="s">
        <v>693</v>
      </c>
      <c r="G109" s="6">
        <v>3</v>
      </c>
      <c r="I109" s="6">
        <v>0</v>
      </c>
      <c r="L109" s="6">
        <v>4</v>
      </c>
      <c r="M109" s="6">
        <v>60</v>
      </c>
      <c r="O109" s="6">
        <v>4</v>
      </c>
      <c r="P109" s="4" t="s">
        <v>797</v>
      </c>
      <c r="Q109" s="6">
        <f>IF($B109="","",$B109&amp;"_W"&amp;$C109)</f>
        <v>0</v>
      </c>
    </row>
    <row r="110" spans="1:17">
      <c r="A110" s="25">
        <v>46244</v>
      </c>
      <c r="B110" s="6" t="s">
        <v>111</v>
      </c>
      <c r="C110" s="6">
        <v>3</v>
      </c>
      <c r="D110" s="6" t="s">
        <v>614</v>
      </c>
      <c r="E110" s="6">
        <f>IFERROR(INDEX('B7_Exercise_Library'!$D$4:$D$54,MATCH($D110,'B7_Exercise_Library'!$A$4:$A$54,0)),"")</f>
        <v>0</v>
      </c>
      <c r="F110" s="6" t="s">
        <v>693</v>
      </c>
      <c r="G110" s="6">
        <v>3</v>
      </c>
      <c r="H110" s="4" t="s">
        <v>798</v>
      </c>
      <c r="O110" s="6">
        <v>4</v>
      </c>
      <c r="P110" s="4" t="s">
        <v>799</v>
      </c>
      <c r="Q110" s="6">
        <f>IF($B110="","",$B110&amp;"_W"&amp;$C110)</f>
        <v>0</v>
      </c>
    </row>
    <row r="111" spans="1:17">
      <c r="A111" s="25">
        <v>46244</v>
      </c>
      <c r="B111" s="6" t="s">
        <v>111</v>
      </c>
      <c r="C111" s="6">
        <v>3</v>
      </c>
      <c r="D111" s="6" t="s">
        <v>618</v>
      </c>
      <c r="E111" s="6">
        <f>IFERROR(INDEX('B7_Exercise_Library'!$D$4:$D$54,MATCH($D111,'B7_Exercise_Library'!$A$4:$A$54,0)),"")</f>
        <v>0</v>
      </c>
      <c r="F111" s="6" t="s">
        <v>693</v>
      </c>
      <c r="G111" s="6">
        <v>3</v>
      </c>
      <c r="M111" s="6">
        <v>40</v>
      </c>
      <c r="O111" s="6">
        <v>4</v>
      </c>
      <c r="P111" s="4" t="s">
        <v>800</v>
      </c>
      <c r="Q111" s="6">
        <f>IF($B111="","",$B111&amp;"_W"&amp;$C111)</f>
        <v>0</v>
      </c>
    </row>
    <row r="112" spans="1:17">
      <c r="A112" s="25">
        <v>46247</v>
      </c>
      <c r="B112" s="6" t="s">
        <v>118</v>
      </c>
      <c r="C112" s="6">
        <v>3</v>
      </c>
      <c r="D112" s="6" t="s">
        <v>668</v>
      </c>
      <c r="E112" s="6">
        <f>IFERROR(INDEX('B7_Exercise_Library'!$D$4:$D$54,MATCH($D112,'B7_Exercise_Library'!$A$4:$A$54,0)),"")</f>
        <v>0</v>
      </c>
      <c r="F112" s="6" t="s">
        <v>686</v>
      </c>
      <c r="G112" s="6">
        <v>3</v>
      </c>
      <c r="I112" s="6">
        <v>0</v>
      </c>
      <c r="L112" s="6">
        <v>3</v>
      </c>
      <c r="M112" s="6">
        <v>3</v>
      </c>
      <c r="O112" s="6">
        <v>4</v>
      </c>
      <c r="P112" s="4" t="s">
        <v>801</v>
      </c>
      <c r="Q112" s="6">
        <f>IF($B112="","",$B112&amp;"_W"&amp;$C112)</f>
        <v>0</v>
      </c>
    </row>
    <row r="113" spans="1:17">
      <c r="A113" s="25">
        <v>46247</v>
      </c>
      <c r="B113" s="6" t="s">
        <v>118</v>
      </c>
      <c r="C113" s="6">
        <v>3</v>
      </c>
      <c r="D113" s="6" t="s">
        <v>668</v>
      </c>
      <c r="E113" s="6">
        <f>IFERROR(INDEX('B7_Exercise_Library'!$D$4:$D$54,MATCH($D113,'B7_Exercise_Library'!$A$4:$A$54,0)),"")</f>
        <v>0</v>
      </c>
      <c r="F113" s="6" t="s">
        <v>688</v>
      </c>
      <c r="G113" s="6">
        <v>3</v>
      </c>
      <c r="I113" s="6">
        <v>0</v>
      </c>
      <c r="L113" s="6">
        <v>2</v>
      </c>
      <c r="M113" s="6">
        <v>3</v>
      </c>
      <c r="O113" s="6">
        <v>4</v>
      </c>
      <c r="P113" s="4" t="s">
        <v>802</v>
      </c>
      <c r="Q113" s="6">
        <f>IF($B113="","",$B113&amp;"_W"&amp;$C113)</f>
        <v>0</v>
      </c>
    </row>
    <row r="114" spans="1:17">
      <c r="A114" s="25">
        <v>46247</v>
      </c>
      <c r="B114" s="6" t="s">
        <v>118</v>
      </c>
      <c r="C114" s="6">
        <v>3</v>
      </c>
      <c r="D114" s="6" t="s">
        <v>668</v>
      </c>
      <c r="E114" s="6">
        <f>IFERROR(INDEX('B7_Exercise_Library'!$D$4:$D$54,MATCH($D114,'B7_Exercise_Library'!$A$4:$A$54,0)),"")</f>
        <v>0</v>
      </c>
      <c r="F114" s="6" t="s">
        <v>686</v>
      </c>
      <c r="G114" s="6">
        <v>3</v>
      </c>
      <c r="I114" s="6">
        <v>0</v>
      </c>
      <c r="L114" s="6">
        <v>3</v>
      </c>
      <c r="M114" s="6">
        <v>4</v>
      </c>
      <c r="O114" s="6">
        <v>4</v>
      </c>
      <c r="P114" s="4" t="s">
        <v>803</v>
      </c>
      <c r="Q114" s="6">
        <f>IF($B114="","",$B114&amp;"_W"&amp;$C114)</f>
        <v>0</v>
      </c>
    </row>
    <row r="115" spans="1:17">
      <c r="A115" s="25">
        <v>46247</v>
      </c>
      <c r="B115" s="6" t="s">
        <v>118</v>
      </c>
      <c r="C115" s="6">
        <v>3</v>
      </c>
      <c r="D115" s="6" t="s">
        <v>668</v>
      </c>
      <c r="E115" s="6">
        <f>IFERROR(INDEX('B7_Exercise_Library'!$D$4:$D$54,MATCH($D115,'B7_Exercise_Library'!$A$4:$A$54,0)),"")</f>
        <v>0</v>
      </c>
      <c r="F115" s="6" t="s">
        <v>688</v>
      </c>
      <c r="G115" s="6">
        <v>3</v>
      </c>
      <c r="I115" s="6">
        <v>0</v>
      </c>
      <c r="L115" s="6">
        <v>3</v>
      </c>
      <c r="M115" s="6">
        <v>3</v>
      </c>
      <c r="O115" s="6">
        <v>4</v>
      </c>
      <c r="P115" s="4" t="s">
        <v>804</v>
      </c>
      <c r="Q115" s="6">
        <f>IF($B115="","",$B115&amp;"_W"&amp;$C115)</f>
        <v>0</v>
      </c>
    </row>
    <row r="116" spans="1:17">
      <c r="A116" s="25">
        <v>46247</v>
      </c>
      <c r="B116" s="6" t="s">
        <v>118</v>
      </c>
      <c r="C116" s="6">
        <v>3</v>
      </c>
      <c r="D116" s="6" t="s">
        <v>489</v>
      </c>
      <c r="E116" s="6">
        <f>IFERROR(INDEX('B7_Exercise_Library'!$D$4:$D$54,MATCH($D116,'B7_Exercise_Library'!$A$4:$A$54,0)),"")</f>
        <v>0</v>
      </c>
      <c r="F116" s="6" t="s">
        <v>693</v>
      </c>
      <c r="G116" s="6">
        <v>3</v>
      </c>
      <c r="H116" s="4" t="s">
        <v>694</v>
      </c>
      <c r="I116" s="6">
        <v>0</v>
      </c>
      <c r="J116" s="6">
        <v>7</v>
      </c>
      <c r="O116" s="6">
        <v>4</v>
      </c>
      <c r="P116" s="4" t="s">
        <v>805</v>
      </c>
      <c r="Q116" s="6">
        <f>IF($B116="","",$B116&amp;"_W"&amp;$C116)</f>
        <v>0</v>
      </c>
    </row>
    <row r="117" spans="1:17">
      <c r="A117" s="25">
        <v>46247</v>
      </c>
      <c r="B117" s="6" t="s">
        <v>118</v>
      </c>
      <c r="C117" s="6">
        <v>3</v>
      </c>
      <c r="D117" s="6" t="s">
        <v>574</v>
      </c>
      <c r="E117" s="6">
        <f>IFERROR(INDEX('B7_Exercise_Library'!$D$4:$D$54,MATCH($D117,'B7_Exercise_Library'!$A$4:$A$54,0)),"")</f>
        <v>0</v>
      </c>
      <c r="F117" s="6" t="s">
        <v>693</v>
      </c>
      <c r="G117" s="6">
        <v>3</v>
      </c>
      <c r="H117" s="4" t="s">
        <v>787</v>
      </c>
      <c r="I117" s="6">
        <v>0</v>
      </c>
      <c r="J117" s="6">
        <v>7</v>
      </c>
      <c r="O117" s="6">
        <v>4</v>
      </c>
      <c r="P117" s="4" t="s">
        <v>806</v>
      </c>
      <c r="Q117" s="6">
        <f>IF($B117="","",$B117&amp;"_W"&amp;$C117)</f>
        <v>0</v>
      </c>
    </row>
    <row r="118" spans="1:17">
      <c r="A118" s="25">
        <v>46247</v>
      </c>
      <c r="B118" s="6" t="s">
        <v>118</v>
      </c>
      <c r="C118" s="6">
        <v>3</v>
      </c>
      <c r="D118" s="6" t="s">
        <v>539</v>
      </c>
      <c r="E118" s="6">
        <f>IFERROR(INDEX('B7_Exercise_Library'!$D$4:$D$54,MATCH($D118,'B7_Exercise_Library'!$A$4:$A$54,0)),"")</f>
        <v>0</v>
      </c>
      <c r="F118" s="6" t="s">
        <v>693</v>
      </c>
      <c r="G118" s="6">
        <v>3</v>
      </c>
      <c r="I118" s="6">
        <v>0</v>
      </c>
      <c r="O118" s="6">
        <v>4</v>
      </c>
      <c r="P118" s="4" t="s">
        <v>807</v>
      </c>
      <c r="Q118" s="6">
        <f>IF($B118="","",$B118&amp;"_W"&amp;$C118)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808</v>
      </c>
      <c r="B1" s="1"/>
      <c r="C1" s="1"/>
      <c r="D1" s="1"/>
      <c r="E1" s="1"/>
      <c r="F1" s="1"/>
      <c r="G1" s="1"/>
    </row>
    <row r="3" spans="1:7">
      <c r="A3" s="5" t="s">
        <v>809</v>
      </c>
      <c r="B3" s="5"/>
      <c r="C3" s="5"/>
    </row>
    <row r="4" spans="1:7">
      <c r="A4" s="9" t="s">
        <v>810</v>
      </c>
      <c r="B4" s="11">
        <v>81</v>
      </c>
      <c r="C4" s="4" t="s">
        <v>818</v>
      </c>
      <c r="D4" s="4"/>
      <c r="E4" s="4"/>
      <c r="F4" s="4"/>
      <c r="G4" s="4"/>
    </row>
    <row r="5" spans="1:7">
      <c r="A5" s="9" t="s">
        <v>811</v>
      </c>
      <c r="B5" s="6" t="s">
        <v>812</v>
      </c>
    </row>
    <row r="6" spans="1:7">
      <c r="A6" s="9" t="s">
        <v>813</v>
      </c>
      <c r="B6" s="11">
        <v>2.2</v>
      </c>
      <c r="C6" s="4" t="s">
        <v>819</v>
      </c>
      <c r="D6" s="4"/>
      <c r="E6" s="4"/>
      <c r="F6" s="4"/>
      <c r="G6" s="4"/>
    </row>
    <row r="7" spans="1:7">
      <c r="A7" s="9" t="s">
        <v>814</v>
      </c>
      <c r="B7" s="11">
        <v>0.9</v>
      </c>
    </row>
    <row r="8" spans="1:7">
      <c r="A8" s="9" t="s">
        <v>815</v>
      </c>
      <c r="B8" s="10">
        <v>2700</v>
      </c>
    </row>
    <row r="9" spans="1:7">
      <c r="A9" s="9" t="s">
        <v>816</v>
      </c>
      <c r="B9" s="10">
        <f>ROUND(BW*B6,0)</f>
        <v>0</v>
      </c>
    </row>
    <row r="10" spans="1:7">
      <c r="A10" s="9" t="s">
        <v>817</v>
      </c>
      <c r="B10" s="10">
        <f>ROUND(BW*B7,0)</f>
        <v>0</v>
      </c>
    </row>
    <row r="12" spans="1:7">
      <c r="A12" s="5" t="s">
        <v>820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821</v>
      </c>
      <c r="C13" s="7" t="s">
        <v>822</v>
      </c>
      <c r="D13" s="7" t="s">
        <v>823</v>
      </c>
      <c r="E13" s="7" t="s">
        <v>824</v>
      </c>
      <c r="F13" s="7" t="s">
        <v>825</v>
      </c>
      <c r="G13" s="7" t="s">
        <v>826</v>
      </c>
    </row>
    <row r="14" spans="1:7">
      <c r="A14" s="9" t="s">
        <v>827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828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829</v>
      </c>
    </row>
    <row r="16" spans="1:7">
      <c r="A16" s="9" t="s">
        <v>830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831</v>
      </c>
    </row>
    <row r="17" spans="1:7">
      <c r="A17" s="9" t="s">
        <v>832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833</v>
      </c>
    </row>
    <row r="18" spans="1:7">
      <c r="A18" s="9" t="s">
        <v>834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835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836</v>
      </c>
    </row>
    <row r="21" spans="1:7">
      <c r="A21" s="5" t="s">
        <v>837</v>
      </c>
      <c r="B21" s="5"/>
      <c r="C21" s="5"/>
      <c r="D21" s="5"/>
      <c r="E21" s="5"/>
      <c r="F21" s="5"/>
      <c r="G21" s="5"/>
    </row>
    <row r="22" spans="1:7">
      <c r="A22" s="4" t="s">
        <v>838</v>
      </c>
      <c r="B22" s="4"/>
      <c r="C22" s="4"/>
      <c r="D22" s="4"/>
      <c r="E22" s="4"/>
      <c r="F22" s="4"/>
      <c r="G22" s="4"/>
    </row>
    <row r="23" spans="1:7">
      <c r="A23" s="4" t="s">
        <v>839</v>
      </c>
      <c r="B23" s="4"/>
      <c r="C23" s="4"/>
      <c r="D23" s="4"/>
      <c r="E23" s="4"/>
      <c r="F23" s="4"/>
      <c r="G23" s="4"/>
    </row>
    <row r="24" spans="1:7">
      <c r="A24" s="4" t="s">
        <v>840</v>
      </c>
      <c r="B24" s="4"/>
      <c r="C24" s="4"/>
      <c r="D24" s="4"/>
      <c r="E24" s="4"/>
      <c r="F24" s="4"/>
      <c r="G24" s="4"/>
    </row>
    <row r="25" spans="1:7">
      <c r="A25" s="4" t="s">
        <v>841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842</v>
      </c>
      <c r="B1" s="1"/>
      <c r="C1" s="1"/>
      <c r="D1" s="1"/>
      <c r="E1" s="1"/>
    </row>
    <row r="3" spans="1:5">
      <c r="A3" s="5" t="s">
        <v>843</v>
      </c>
      <c r="B3" s="5"/>
      <c r="C3" s="5"/>
      <c r="D3" s="5"/>
      <c r="E3" s="5"/>
    </row>
    <row r="4" spans="1:5">
      <c r="A4" s="7" t="s">
        <v>844</v>
      </c>
      <c r="B4" s="7" t="s">
        <v>845</v>
      </c>
      <c r="C4" s="7" t="s">
        <v>846</v>
      </c>
      <c r="D4" s="7" t="s">
        <v>847</v>
      </c>
      <c r="E4" s="7" t="s">
        <v>848</v>
      </c>
    </row>
    <row r="5" spans="1:5">
      <c r="A5" s="9" t="s">
        <v>849</v>
      </c>
      <c r="B5" s="22" t="s">
        <v>850</v>
      </c>
      <c r="C5" s="27" t="s">
        <v>851</v>
      </c>
      <c r="D5" s="28" t="s">
        <v>852</v>
      </c>
      <c r="E5" s="29" t="s">
        <v>853</v>
      </c>
    </row>
    <row r="6" spans="1:5">
      <c r="A6" s="9" t="s">
        <v>854</v>
      </c>
      <c r="B6" s="22" t="s">
        <v>855</v>
      </c>
      <c r="C6" s="27" t="s">
        <v>856</v>
      </c>
      <c r="D6" s="28" t="s">
        <v>857</v>
      </c>
      <c r="E6" s="29" t="s">
        <v>858</v>
      </c>
    </row>
    <row r="7" spans="1:5">
      <c r="A7" s="9" t="s">
        <v>859</v>
      </c>
      <c r="B7" s="22" t="s">
        <v>860</v>
      </c>
      <c r="C7" s="27" t="s">
        <v>861</v>
      </c>
      <c r="D7" s="28" t="s">
        <v>862</v>
      </c>
      <c r="E7" s="29" t="s">
        <v>863</v>
      </c>
    </row>
    <row r="8" spans="1:5">
      <c r="A8" s="9" t="s">
        <v>864</v>
      </c>
      <c r="B8" s="22" t="s">
        <v>865</v>
      </c>
      <c r="C8" s="27" t="s">
        <v>866</v>
      </c>
      <c r="D8" s="28" t="s">
        <v>867</v>
      </c>
      <c r="E8" s="29" t="s">
        <v>868</v>
      </c>
    </row>
    <row r="9" spans="1:5">
      <c r="A9" s="9" t="s">
        <v>869</v>
      </c>
      <c r="B9" s="22" t="s">
        <v>870</v>
      </c>
      <c r="C9" s="27" t="s">
        <v>871</v>
      </c>
      <c r="D9" s="28" t="s">
        <v>872</v>
      </c>
      <c r="E9" s="29" t="s">
        <v>873</v>
      </c>
    </row>
    <row r="10" spans="1:5">
      <c r="A10" s="9" t="s">
        <v>874</v>
      </c>
      <c r="B10" s="22" t="s">
        <v>875</v>
      </c>
      <c r="C10" s="27" t="s">
        <v>876</v>
      </c>
      <c r="D10" s="28" t="s">
        <v>877</v>
      </c>
      <c r="E10" s="29" t="s">
        <v>878</v>
      </c>
    </row>
    <row r="12" spans="1:5">
      <c r="A12" s="5" t="s">
        <v>879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880</v>
      </c>
      <c r="B21" s="5"/>
      <c r="C21" s="5"/>
      <c r="D21" s="5"/>
      <c r="E21" s="5"/>
    </row>
    <row r="22" spans="1:5">
      <c r="A22" s="7" t="s">
        <v>881</v>
      </c>
      <c r="B22" s="7" t="s">
        <v>882</v>
      </c>
      <c r="C22" s="7" t="s">
        <v>883</v>
      </c>
      <c r="D22" s="7" t="s">
        <v>884</v>
      </c>
      <c r="E22" s="7" t="s">
        <v>885</v>
      </c>
    </row>
    <row r="23" spans="1:5">
      <c r="A23" s="14" t="s">
        <v>886</v>
      </c>
      <c r="B23" s="4" t="s">
        <v>887</v>
      </c>
      <c r="C23" s="4" t="s">
        <v>888</v>
      </c>
      <c r="D23" s="4" t="s">
        <v>889</v>
      </c>
      <c r="E23" s="4" t="s">
        <v>890</v>
      </c>
    </row>
    <row r="24" spans="1:5">
      <c r="A24" s="14" t="s">
        <v>48</v>
      </c>
      <c r="B24" s="4" t="s">
        <v>891</v>
      </c>
      <c r="C24" s="4" t="s">
        <v>892</v>
      </c>
      <c r="D24" s="4" t="s">
        <v>893</v>
      </c>
      <c r="E24" s="4" t="s">
        <v>894</v>
      </c>
    </row>
    <row r="25" spans="1:5">
      <c r="A25" s="14" t="s">
        <v>35</v>
      </c>
      <c r="B25" s="4" t="s">
        <v>895</v>
      </c>
      <c r="C25" s="4" t="s">
        <v>896</v>
      </c>
      <c r="D25" s="4" t="s">
        <v>897</v>
      </c>
      <c r="E25" s="4" t="s">
        <v>898</v>
      </c>
    </row>
    <row r="26" spans="1:5">
      <c r="A26" s="14" t="s">
        <v>38</v>
      </c>
      <c r="B26" s="4" t="s">
        <v>899</v>
      </c>
      <c r="C26" s="4" t="s">
        <v>900</v>
      </c>
      <c r="D26" s="4" t="s">
        <v>901</v>
      </c>
      <c r="E26" s="4" t="s">
        <v>902</v>
      </c>
    </row>
    <row r="28" spans="1:5">
      <c r="A28" s="5" t="s">
        <v>903</v>
      </c>
      <c r="B28" s="5"/>
      <c r="C28" s="5"/>
      <c r="D28" s="5"/>
      <c r="E28" s="5"/>
    </row>
    <row r="29" spans="1:5">
      <c r="A29" s="4" t="s">
        <v>904</v>
      </c>
      <c r="B29" s="4"/>
      <c r="C29" s="4"/>
      <c r="D29" s="4"/>
      <c r="E29" s="4"/>
    </row>
    <row r="30" spans="1:5">
      <c r="A30" s="4" t="s">
        <v>905</v>
      </c>
      <c r="B30" s="4"/>
      <c r="C30" s="4"/>
      <c r="D30" s="4"/>
      <c r="E30" s="4"/>
    </row>
    <row r="31" spans="1:5">
      <c r="A31" s="4" t="s">
        <v>906</v>
      </c>
      <c r="B31" s="4"/>
      <c r="C31" s="4"/>
      <c r="D31" s="4"/>
      <c r="E31" s="4"/>
    </row>
    <row r="32" spans="1:5">
      <c r="A32" s="4" t="s">
        <v>907</v>
      </c>
      <c r="B32" s="4"/>
      <c r="C32" s="4"/>
      <c r="D32" s="4"/>
      <c r="E32" s="4"/>
    </row>
    <row r="33" spans="1:5">
      <c r="A33" s="4" t="s">
        <v>908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909</v>
      </c>
      <c r="D36" s="7"/>
      <c r="E36" s="7"/>
    </row>
    <row r="37" spans="1:5">
      <c r="A37" s="4" t="s">
        <v>910</v>
      </c>
      <c r="B37" s="24" t="s">
        <v>911</v>
      </c>
      <c r="C37" s="4" t="s">
        <v>912</v>
      </c>
      <c r="D37" s="4"/>
      <c r="E37" s="4"/>
    </row>
    <row r="38" spans="1:5">
      <c r="A38" s="4" t="s">
        <v>913</v>
      </c>
      <c r="B38" s="24" t="s">
        <v>914</v>
      </c>
      <c r="C38" s="4" t="s">
        <v>915</v>
      </c>
      <c r="D38" s="4"/>
      <c r="E38" s="4"/>
    </row>
    <row r="39" spans="1:5">
      <c r="A39" s="4" t="s">
        <v>916</v>
      </c>
      <c r="B39" s="24" t="s">
        <v>470</v>
      </c>
      <c r="C39" s="4" t="s">
        <v>917</v>
      </c>
      <c r="D39" s="4"/>
      <c r="E39" s="4"/>
    </row>
    <row r="40" spans="1:5">
      <c r="A40" s="4" t="s">
        <v>918</v>
      </c>
      <c r="B40" s="24" t="s">
        <v>919</v>
      </c>
      <c r="C40" s="4" t="s">
        <v>920</v>
      </c>
      <c r="D40" s="4"/>
      <c r="E40" s="4"/>
    </row>
    <row r="41" spans="1:5">
      <c r="A41" s="4" t="s">
        <v>918</v>
      </c>
      <c r="B41" s="24" t="s">
        <v>921</v>
      </c>
      <c r="C41" s="4" t="s">
        <v>922</v>
      </c>
      <c r="D41" s="4"/>
      <c r="E41" s="4"/>
    </row>
    <row r="42" spans="1:5">
      <c r="A42" s="4" t="s">
        <v>923</v>
      </c>
      <c r="B42" s="24" t="s">
        <v>924</v>
      </c>
      <c r="C42" s="4" t="s">
        <v>925</v>
      </c>
      <c r="D42" s="4"/>
      <c r="E42" s="4"/>
    </row>
    <row r="43" spans="1:5">
      <c r="A43" s="4" t="s">
        <v>926</v>
      </c>
      <c r="B43" s="24" t="s">
        <v>927</v>
      </c>
      <c r="C43" s="4" t="s">
        <v>928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929</v>
      </c>
      <c r="B1" s="1"/>
      <c r="C1" s="1"/>
      <c r="D1" s="1"/>
      <c r="E1" s="1"/>
      <c r="F1" s="1"/>
    </row>
    <row r="2" spans="1:6">
      <c r="A2" s="12" t="s">
        <v>930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931</v>
      </c>
    </row>
    <row r="4" spans="1:6">
      <c r="A4" s="9" t="s">
        <v>932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933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934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935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936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937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938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939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940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941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942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943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944</v>
      </c>
      <c r="B1" s="1"/>
      <c r="C1" s="1"/>
      <c r="D1" s="1"/>
    </row>
    <row r="3" spans="1:4">
      <c r="A3" s="5" t="s">
        <v>945</v>
      </c>
      <c r="B3" s="5"/>
      <c r="C3" s="5"/>
      <c r="D3" s="5"/>
    </row>
    <row r="4" spans="1:4">
      <c r="A4" s="7" t="s">
        <v>946</v>
      </c>
      <c r="B4" s="7" t="s">
        <v>947</v>
      </c>
      <c r="C4" s="7" t="s">
        <v>948</v>
      </c>
      <c r="D4" s="7"/>
    </row>
    <row r="5" spans="1:4">
      <c r="A5" s="9" t="s">
        <v>672</v>
      </c>
      <c r="B5" s="4" t="s">
        <v>949</v>
      </c>
      <c r="C5" s="4" t="s">
        <v>950</v>
      </c>
      <c r="D5" s="4"/>
    </row>
    <row r="6" spans="1:4">
      <c r="A6" s="9" t="s">
        <v>673</v>
      </c>
      <c r="B6" s="4" t="s">
        <v>951</v>
      </c>
      <c r="C6" s="4" t="s">
        <v>952</v>
      </c>
      <c r="D6" s="4"/>
    </row>
    <row r="7" spans="1:4">
      <c r="A7" s="9" t="s">
        <v>674</v>
      </c>
      <c r="B7" s="4" t="s">
        <v>953</v>
      </c>
      <c r="C7" s="4" t="s">
        <v>954</v>
      </c>
      <c r="D7" s="4"/>
    </row>
    <row r="8" spans="1:4">
      <c r="A8" s="9" t="s">
        <v>481</v>
      </c>
      <c r="B8" s="4" t="s">
        <v>955</v>
      </c>
      <c r="C8" s="4" t="s">
        <v>956</v>
      </c>
      <c r="D8" s="4"/>
    </row>
    <row r="9" spans="1:4">
      <c r="A9" s="9" t="s">
        <v>484</v>
      </c>
      <c r="B9" s="4" t="s">
        <v>957</v>
      </c>
      <c r="C9" s="4" t="s">
        <v>958</v>
      </c>
      <c r="D9" s="4"/>
    </row>
    <row r="10" spans="1:4">
      <c r="A10" s="9" t="s">
        <v>675</v>
      </c>
      <c r="B10" s="4" t="s">
        <v>959</v>
      </c>
      <c r="C10" s="4" t="s">
        <v>960</v>
      </c>
      <c r="D10" s="4"/>
    </row>
    <row r="11" spans="1:4">
      <c r="A11" s="9" t="s">
        <v>676</v>
      </c>
      <c r="B11" s="4" t="s">
        <v>961</v>
      </c>
      <c r="C11" s="4" t="s">
        <v>962</v>
      </c>
      <c r="D11" s="4"/>
    </row>
    <row r="12" spans="1:4">
      <c r="A12" s="9" t="s">
        <v>677</v>
      </c>
      <c r="B12" s="4" t="s">
        <v>963</v>
      </c>
      <c r="C12" s="4" t="s">
        <v>964</v>
      </c>
      <c r="D12" s="4"/>
    </row>
    <row r="13" spans="1:4">
      <c r="A13" s="9" t="s">
        <v>678</v>
      </c>
      <c r="B13" s="4" t="s">
        <v>961</v>
      </c>
      <c r="C13" s="4" t="s">
        <v>965</v>
      </c>
      <c r="D13" s="4"/>
    </row>
    <row r="14" spans="1:4">
      <c r="A14" s="9" t="s">
        <v>679</v>
      </c>
      <c r="B14" s="4" t="s">
        <v>966</v>
      </c>
      <c r="C14" s="4" t="s">
        <v>967</v>
      </c>
      <c r="D14" s="4"/>
    </row>
    <row r="15" spans="1:4">
      <c r="A15" s="9" t="s">
        <v>680</v>
      </c>
      <c r="B15" s="4" t="s">
        <v>968</v>
      </c>
      <c r="C15" s="4" t="s">
        <v>969</v>
      </c>
      <c r="D15" s="4"/>
    </row>
    <row r="16" spans="1:4">
      <c r="A16" s="9" t="s">
        <v>681</v>
      </c>
      <c r="B16" s="4" t="s">
        <v>970</v>
      </c>
      <c r="C16" s="4" t="s">
        <v>971</v>
      </c>
      <c r="D16" s="4"/>
    </row>
    <row r="17" spans="1:4">
      <c r="A17" s="9" t="s">
        <v>682</v>
      </c>
      <c r="B17" s="4" t="s">
        <v>961</v>
      </c>
      <c r="C17" s="4" t="s">
        <v>972</v>
      </c>
      <c r="D17" s="4"/>
    </row>
    <row r="18" spans="1:4">
      <c r="A18" s="9" t="s">
        <v>683</v>
      </c>
      <c r="B18" s="4" t="s">
        <v>961</v>
      </c>
      <c r="C18" s="4" t="s">
        <v>973</v>
      </c>
      <c r="D18" s="4"/>
    </row>
    <row r="19" spans="1:4">
      <c r="A19" s="9" t="s">
        <v>684</v>
      </c>
      <c r="B19" s="4" t="s">
        <v>974</v>
      </c>
      <c r="C19" s="4" t="s">
        <v>975</v>
      </c>
      <c r="D19" s="4"/>
    </row>
    <row r="20" spans="1:4">
      <c r="A20" s="9" t="s">
        <v>94</v>
      </c>
      <c r="B20" s="4" t="s">
        <v>963</v>
      </c>
      <c r="C20" s="4" t="s">
        <v>976</v>
      </c>
      <c r="D20" s="4"/>
    </row>
    <row r="21" spans="1:4">
      <c r="A21" s="9" t="s">
        <v>685</v>
      </c>
      <c r="B21" s="4" t="s">
        <v>977</v>
      </c>
      <c r="C21" s="4" t="s">
        <v>978</v>
      </c>
      <c r="D21" s="4"/>
    </row>
    <row r="23" spans="1:4">
      <c r="A23" s="5" t="s">
        <v>979</v>
      </c>
      <c r="B23" s="5"/>
      <c r="C23" s="5"/>
      <c r="D23" s="5"/>
    </row>
    <row r="24" spans="1:4">
      <c r="A24" s="4" t="s">
        <v>980</v>
      </c>
      <c r="B24" s="4"/>
      <c r="C24" s="4"/>
      <c r="D24" s="4"/>
    </row>
    <row r="25" spans="1:4">
      <c r="A25" s="4" t="s">
        <v>981</v>
      </c>
      <c r="B25" s="4"/>
      <c r="C25" s="4"/>
      <c r="D25" s="4"/>
    </row>
    <row r="26" spans="1:4">
      <c r="A26" s="4" t="s">
        <v>982</v>
      </c>
      <c r="B26" s="4"/>
      <c r="C26" s="4"/>
      <c r="D26" s="4"/>
    </row>
    <row r="27" spans="1:4">
      <c r="A27" s="4" t="s">
        <v>983</v>
      </c>
      <c r="B27" s="4"/>
      <c r="C27" s="4"/>
      <c r="D27" s="4"/>
    </row>
    <row r="28" spans="1:4">
      <c r="A28" s="4" t="s">
        <v>984</v>
      </c>
      <c r="B28" s="4"/>
      <c r="C28" s="4"/>
      <c r="D28" s="4"/>
    </row>
    <row r="29" spans="1:4">
      <c r="A29" s="4" t="s">
        <v>985</v>
      </c>
      <c r="B29" s="4"/>
      <c r="C29" s="4"/>
      <c r="D29" s="4"/>
    </row>
    <row r="30" spans="1:4">
      <c r="A30" s="4" t="s">
        <v>986</v>
      </c>
      <c r="B30" s="4"/>
      <c r="C30" s="4"/>
      <c r="D30" s="4"/>
    </row>
    <row r="32" spans="1:4">
      <c r="A32" s="5" t="s">
        <v>987</v>
      </c>
      <c r="B32" s="5"/>
      <c r="C32" s="5"/>
      <c r="D32" s="5"/>
    </row>
    <row r="33" spans="1:4">
      <c r="A33" s="4" t="s">
        <v>988</v>
      </c>
      <c r="B33" s="4"/>
      <c r="C33" s="4"/>
      <c r="D33" s="4"/>
    </row>
    <row r="34" spans="1:4">
      <c r="A34" s="4" t="s">
        <v>989</v>
      </c>
      <c r="B34" s="4"/>
      <c r="C34" s="4"/>
      <c r="D34" s="4"/>
    </row>
    <row r="35" spans="1:4">
      <c r="A35" s="4" t="s">
        <v>990</v>
      </c>
      <c r="B35" s="4"/>
      <c r="C35" s="4"/>
      <c r="D35" s="4"/>
    </row>
    <row r="36" spans="1:4">
      <c r="A36" s="4" t="s">
        <v>991</v>
      </c>
      <c r="B36" s="4"/>
      <c r="C36" s="4"/>
      <c r="D36" s="4"/>
    </row>
    <row r="37" spans="1:4">
      <c r="A37" s="4" t="s">
        <v>992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2026-08-07T13:23:12Z</dcterms:created>
  <dcterms:modified xsi:type="dcterms:W3CDTF">2026-08-07T13:23:12Z</dcterms:modified>
</cp:coreProperties>
</file>