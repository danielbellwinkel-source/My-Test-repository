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-Tracking 2026" sheetId="1" state="visible" r:id="rId1"/>
    <sheet name="KPI Dashboard" sheetId="2" state="visible" r:id="rId2"/>
    <sheet name="Legende" sheetId="3" state="visible" r:id="rId3"/>
  </sheets>
  <definedNames>
    <definedName name="_xlnm._FilterDatabase" localSheetId="0" hidden="1">'Lead-Tracking 2026'!$A$1:$T$1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,##0 &quot;EUR&quot;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FFFFFF"/>
      <sz val="14"/>
    </font>
    <font>
      <name val="Calibri"/>
      <i val="1"/>
      <color rgb="00888888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3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7F7F7"/>
        <bgColor rgb="00F7F7F7"/>
      </patternFill>
    </fill>
    <fill>
      <patternFill patternType="solid">
        <fgColor rgb="00FFFFFF"/>
        <bgColor rgb="00FFFFFF"/>
      </patternFill>
    </fill>
    <fill>
      <patternFill patternType="solid">
        <fgColor rgb="00E31E24"/>
        <bgColor rgb="00E31E24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ECEFF1"/>
        <bgColor rgb="00ECEFF1"/>
      </patternFill>
    </fill>
    <fill>
      <patternFill patternType="solid">
        <fgColor rgb="00E3F2FD"/>
        <bgColor rgb="00E3F2FD"/>
      </patternFill>
    </fill>
    <fill>
      <patternFill patternType="solid">
        <fgColor rgb="00FFE0B2"/>
        <bgColor rgb="00FFE0B2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9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6" fontId="8" fillId="3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0" fillId="3" borderId="0" pivotButton="0" quotePrefix="0" xfId="0"/>
    <xf numFmtId="0" fontId="8" fillId="4" borderId="1" applyAlignment="1" pivotButton="0" quotePrefix="0" xfId="0">
      <alignment horizontal="left" vertical="center"/>
    </xf>
    <xf numFmtId="0" fontId="0" fillId="4" borderId="0" pivotButton="0" quotePrefix="0" xfId="0"/>
    <xf numFmtId="0" fontId="9" fillId="5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2" fillId="6" borderId="1" pivotButton="0" quotePrefix="0" xfId="0"/>
    <xf numFmtId="0" fontId="0" fillId="0" borderId="4" pivotButton="0" quotePrefix="0" xfId="0"/>
    <xf numFmtId="0" fontId="3" fillId="7" borderId="1" applyAlignment="1" pivotButton="0" quotePrefix="0" xfId="0">
      <alignment horizontal="center" vertical="center"/>
    </xf>
    <xf numFmtId="0" fontId="2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2" fillId="8" borderId="1" pivotButton="0" quotePrefix="0" xfId="0"/>
    <xf numFmtId="0" fontId="3" fillId="9" borderId="1" applyAlignment="1" pivotButton="0" quotePrefix="0" xfId="0">
      <alignment horizontal="center" vertical="center"/>
    </xf>
    <xf numFmtId="0" fontId="2" fillId="9" borderId="1" pivotButton="0" quotePrefix="0" xfId="0"/>
    <xf numFmtId="0" fontId="3" fillId="6" borderId="1" pivotButton="0" quotePrefix="0" xfId="0"/>
    <xf numFmtId="0" fontId="3" fillId="10" borderId="1" pivotButton="0" quotePrefix="0" xfId="0"/>
    <xf numFmtId="0" fontId="2" fillId="10" borderId="1" pivotButton="0" quotePrefix="0" xfId="0"/>
    <xf numFmtId="0" fontId="3" fillId="7" borderId="1" pivotButton="0" quotePrefix="0" xfId="0"/>
    <xf numFmtId="0" fontId="3" fillId="11" borderId="1" pivotButton="0" quotePrefix="0" xfId="0"/>
    <xf numFmtId="0" fontId="2" fillId="11" borderId="1" pivotButton="0" quotePrefix="0" xfId="0"/>
    <xf numFmtId="0" fontId="3" fillId="8" borderId="1" pivotButton="0" quotePrefix="0" xfId="0"/>
    <xf numFmtId="0" fontId="3" fillId="9" borderId="1" pivotButton="0" quotePrefix="0" xfId="0"/>
  </cellXfs>
  <cellStyles count="1">
    <cellStyle name="Normal" xfId="0" builtinId="0" hidden="0"/>
  </cellStyles>
  <dxfs count="13">
    <dxf>
      <font>
        <name val="Calibri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color rgb="001A237E"/>
        <sz val="9"/>
      </font>
      <fill>
        <patternFill patternType="solid">
          <fgColor rgb="00E3F2FD"/>
          <bgColor rgb="00E3F2FD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  <bgColor rgb="00FFF9C4"/>
        </patternFill>
      </fill>
    </dxf>
    <dxf>
      <font>
        <name val="Calibri"/>
        <b val="1"/>
        <color rgb="00BF360C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color rgb="00607D8B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000000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888888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10"/>
      </font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8" customWidth="1" min="5" max="5"/>
    <col width="14" customWidth="1" min="6" max="6"/>
    <col width="24" customWidth="1" min="7" max="7"/>
    <col width="22" customWidth="1" min="8" max="8"/>
    <col width="7" customWidth="1" min="9" max="9"/>
    <col width="15" customWidth="1" min="10" max="10"/>
    <col width="10" customWidth="1" min="11" max="11"/>
    <col width="5" customWidth="1" min="12" max="12"/>
    <col width="22" customWidth="1" min="13" max="13"/>
    <col width="16" customWidth="1" min="14" max="14"/>
    <col width="13" customWidth="1" min="15" max="15"/>
    <col width="14" customWidth="1" min="16" max="16"/>
    <col width="11" customWidth="1" min="17" max="17"/>
    <col width="14" customWidth="1" min="18" max="18"/>
    <col width="28" customWidth="1" min="19" max="19"/>
    <col width="4" customWidth="1" min="20" max="20"/>
  </cols>
  <sheetData>
    <row r="1" ht="28" customHeight="1">
      <c r="A1" s="1" t="inlineStr">
        <is>
          <t>Lead-Nr</t>
        </is>
      </c>
      <c r="B1" s="1" t="inlineStr">
        <is>
          <t>Datum</t>
        </is>
      </c>
      <c r="C1" s="1" t="inlineStr">
        <is>
          <t>Mitarbeiter</t>
        </is>
      </c>
      <c r="D1" s="1" t="inlineStr">
        <is>
          <t>Kunde</t>
        </is>
      </c>
      <c r="E1" s="1" t="inlineStr">
        <is>
          <t>Kontakt</t>
        </is>
      </c>
      <c r="F1" s="1" t="inlineStr">
        <is>
          <t>Kategorie</t>
        </is>
      </c>
      <c r="G1" s="1" t="inlineStr">
        <is>
          <t>Favorit (Modell+Preis)</t>
        </is>
      </c>
      <c r="H1" s="1" t="inlineStr">
        <is>
          <t>Alternative (M+P)</t>
        </is>
      </c>
      <c r="I1" s="1" t="inlineStr">
        <is>
          <t>Typ</t>
        </is>
      </c>
      <c r="J1" s="1" t="inlineStr">
        <is>
          <t>Offener Punkt</t>
        </is>
      </c>
      <c r="K1" s="1" t="inlineStr">
        <is>
          <t>Einwand</t>
        </is>
      </c>
      <c r="L1" s="1" t="inlineStr">
        <is>
          <t>KR</t>
        </is>
      </c>
      <c r="M1" s="1" t="inlineStr">
        <is>
          <t>Status</t>
        </is>
      </c>
      <c r="N1" s="1" t="inlineStr">
        <is>
          <t>Naechster Schritt</t>
        </is>
      </c>
      <c r="O1" s="1" t="inlineStr">
        <is>
          <t>Check-Datum</t>
        </is>
      </c>
      <c r="P1" s="1" t="inlineStr">
        <is>
          <t>Angebotswert EUR</t>
        </is>
      </c>
      <c r="Q1" s="1" t="inlineStr">
        <is>
          <t>Abschluss</t>
        </is>
      </c>
      <c r="R1" s="1" t="inlineStr">
        <is>
          <t>Verlustgrund</t>
        </is>
      </c>
      <c r="S1" s="1" t="inlineStr">
        <is>
          <t>Notiz</t>
        </is>
      </c>
      <c r="T1" s="1" t="inlineStr">
        <is>
          <t>A</t>
        </is>
      </c>
    </row>
    <row r="2" ht="20" customHeight="1">
      <c r="A2" s="2" t="inlineStr">
        <is>
          <t>2026-0001</t>
        </is>
      </c>
      <c r="B2" s="3" t="n">
        <v>46157</v>
      </c>
      <c r="C2" s="2" t="inlineStr">
        <is>
          <t>Daniel</t>
        </is>
      </c>
      <c r="D2" s="4" t="inlineStr">
        <is>
          <t>Hr. Egger</t>
        </is>
      </c>
      <c r="E2" s="4" t="inlineStr">
        <is>
          <t>0664 1234567</t>
        </is>
      </c>
      <c r="F2" s="4" t="inlineStr">
        <is>
          <t>Laufband</t>
        </is>
      </c>
      <c r="G2" s="4" t="inlineStr">
        <is>
          <t>Modell B Pro - 2190</t>
        </is>
      </c>
      <c r="H2" s="4" t="inlineStr">
        <is>
          <t>Modell B - 1690</t>
        </is>
      </c>
      <c r="I2" s="2" t="inlineStr">
        <is>
          <t>A</t>
        </is>
      </c>
      <c r="J2" s="4" t="inlineStr">
        <is>
          <t>—</t>
        </is>
      </c>
      <c r="K2" s="2" t="inlineStr">
        <is>
          <t>—</t>
        </is>
      </c>
      <c r="L2" s="5" t="n">
        <v>5</v>
      </c>
      <c r="M2" s="4" t="inlineStr">
        <is>
          <t>Kauf abgeschlossen</t>
        </is>
      </c>
      <c r="N2" s="4" t="inlineStr">
        <is>
          <t>—</t>
        </is>
      </c>
      <c r="O2" s="3" t="n">
        <v>46157</v>
      </c>
      <c r="P2" s="2" t="n">
        <v>2190</v>
      </c>
      <c r="Q2" s="2" t="inlineStr">
        <is>
          <t>Ja</t>
        </is>
      </c>
      <c r="R2" s="4" t="inlineStr">
        <is>
          <t>—</t>
        </is>
      </c>
      <c r="S2" s="4" t="inlineStr">
        <is>
          <t>Sofortkauf nach Test</t>
        </is>
      </c>
      <c r="T2" s="5">
        <f>IF(OR(M2="Kauf abgeschlossen",M2="Verloren",M2="Warten auf Raum"),"o",IF(O2&lt;TODAY(),"!",IF(O2&lt;=TODAY()+1,"~","ok")))</f>
        <v/>
      </c>
    </row>
    <row r="3" ht="20" customHeight="1">
      <c r="A3" s="6" t="inlineStr">
        <is>
          <t>2026-0002</t>
        </is>
      </c>
      <c r="B3" s="7" t="n">
        <v>46158</v>
      </c>
      <c r="C3" s="6" t="inlineStr">
        <is>
          <t>Jonas</t>
        </is>
      </c>
      <c r="D3" s="8" t="inlineStr">
        <is>
          <t>Hr. Mayr</t>
        </is>
      </c>
      <c r="E3" s="8" t="inlineStr">
        <is>
          <t>0676 2345678</t>
        </is>
      </c>
      <c r="F3" s="8" t="inlineStr">
        <is>
          <t>Crosstrainer</t>
        </is>
      </c>
      <c r="G3" s="8" t="inlineStr">
        <is>
          <t>Modell X - 1490</t>
        </is>
      </c>
      <c r="H3" s="8" t="inlineStr">
        <is>
          <t>Modell Y - 990</t>
        </is>
      </c>
      <c r="I3" s="6" t="inlineStr">
        <is>
          <t>B</t>
        </is>
      </c>
      <c r="J3" s="8" t="inlineStr">
        <is>
          <t>Maße</t>
        </is>
      </c>
      <c r="K3" s="6" t="inlineStr">
        <is>
          <t>E1</t>
        </is>
      </c>
      <c r="L3" s="9" t="n">
        <v>4</v>
      </c>
      <c r="M3" s="8" t="inlineStr">
        <is>
          <t>Heimcheck angelegt</t>
        </is>
      </c>
      <c r="N3" s="8" t="inlineStr">
        <is>
          <t>Check-Anruf</t>
        </is>
      </c>
      <c r="O3" s="7" t="n">
        <v>46172</v>
      </c>
      <c r="P3" s="6" t="n">
        <v>1490</v>
      </c>
      <c r="Q3" s="6" t="inlineStr">
        <is>
          <t>Offen</t>
        </is>
      </c>
      <c r="R3" s="8" t="inlineStr">
        <is>
          <t>—</t>
        </is>
      </c>
      <c r="S3" s="8" t="inlineStr">
        <is>
          <t>Masse bis Freitag</t>
        </is>
      </c>
      <c r="T3" s="9">
        <f>IF(OR(M3="Kauf abgeschlossen",M3="Verloren",M3="Warten auf Raum"),"o",IF(O3&lt;TODAY(),"!",IF(O3&lt;=TODAY()+1,"~","ok")))</f>
        <v/>
      </c>
    </row>
    <row r="4" ht="20" customHeight="1">
      <c r="A4" s="2" t="inlineStr">
        <is>
          <t>2026-0003</t>
        </is>
      </c>
      <c r="B4" s="3" t="n">
        <v>46158</v>
      </c>
      <c r="C4" s="2" t="inlineStr">
        <is>
          <t>Angie</t>
        </is>
      </c>
      <c r="D4" s="4" t="inlineStr">
        <is>
          <t>Fr. Kofler</t>
        </is>
      </c>
      <c r="E4" s="4" t="inlineStr">
        <is>
          <t>fr.kofler@mail.at</t>
        </is>
      </c>
      <c r="F4" s="4" t="inlineStr">
        <is>
          <t>Ergometer</t>
        </is>
      </c>
      <c r="G4" s="4" t="inlineStr">
        <is>
          <t>Modell E - 1290</t>
        </is>
      </c>
      <c r="H4" s="4" t="inlineStr">
        <is>
          <t>Modell E light - 890</t>
        </is>
      </c>
      <c r="I4" s="2" t="inlineStr">
        <is>
          <t>C</t>
        </is>
      </c>
      <c r="J4" s="4" t="inlineStr">
        <is>
          <t>Partner</t>
        </is>
      </c>
      <c r="K4" s="2" t="inlineStr">
        <is>
          <t>E2</t>
        </is>
      </c>
      <c r="L4" s="2" t="n">
        <v>3</v>
      </c>
      <c r="M4" s="4" t="inlineStr">
        <is>
          <t>Heimcheck angelegt</t>
        </is>
      </c>
      <c r="N4" s="4" t="inlineStr">
        <is>
          <t>2. Besuch</t>
        </is>
      </c>
      <c r="O4" s="3" t="n">
        <v>46171</v>
      </c>
      <c r="P4" s="2" t="n">
        <v>1290</v>
      </c>
      <c r="Q4" s="2" t="inlineStr">
        <is>
          <t>Offen</t>
        </is>
      </c>
      <c r="R4" s="4" t="inlineStr">
        <is>
          <t>—</t>
        </is>
      </c>
      <c r="S4" s="4" t="inlineStr">
        <is>
          <t>Mann kommt mit</t>
        </is>
      </c>
      <c r="T4" s="5">
        <f>IF(OR(M4="Kauf abgeschlossen",M4="Verloren",M4="Warten auf Raum"),"o",IF(O4&lt;TODAY(),"!",IF(O4&lt;=TODAY()+1,"~","ok")))</f>
        <v/>
      </c>
    </row>
    <row r="5" ht="20" customHeight="1">
      <c r="A5" s="6" t="inlineStr">
        <is>
          <t>2026-0004</t>
        </is>
      </c>
      <c r="B5" s="7" t="n">
        <v>46160</v>
      </c>
      <c r="C5" s="6" t="inlineStr">
        <is>
          <t>Norbert</t>
        </is>
      </c>
      <c r="D5" s="8" t="inlineStr">
        <is>
          <t>Hr. Stocker</t>
        </is>
      </c>
      <c r="E5" s="8" t="inlineStr">
        <is>
          <t>0699 3456789</t>
        </is>
      </c>
      <c r="F5" s="8" t="inlineStr">
        <is>
          <t>Kraftstation</t>
        </is>
      </c>
      <c r="G5" s="8" t="inlineStr">
        <is>
          <t>Power-Rack - 2890</t>
        </is>
      </c>
      <c r="H5" s="8" t="inlineStr">
        <is>
          <t>Kompakt-Station - 1990</t>
        </is>
      </c>
      <c r="I5" s="6" t="inlineStr">
        <is>
          <t>B</t>
        </is>
      </c>
      <c r="J5" s="8" t="inlineStr">
        <is>
          <t>Raum</t>
        </is>
      </c>
      <c r="K5" s="6" t="inlineStr">
        <is>
          <t>E5</t>
        </is>
      </c>
      <c r="L5" s="9" t="n">
        <v>4</v>
      </c>
      <c r="M5" s="8" t="inlineStr">
        <is>
          <t>Entscheidungscheck geplant</t>
        </is>
      </c>
      <c r="N5" s="8" t="inlineStr">
        <is>
          <t>Check-Anruf</t>
        </is>
      </c>
      <c r="O5" s="7" t="n">
        <v>46170</v>
      </c>
      <c r="P5" s="6" t="n">
        <v>2890</v>
      </c>
      <c r="Q5" s="6" t="inlineStr">
        <is>
          <t>Offen</t>
        </is>
      </c>
      <c r="R5" s="8" t="inlineStr">
        <is>
          <t>—</t>
        </is>
      </c>
      <c r="S5" s="8" t="inlineStr">
        <is>
          <t>Garage wird gemessen</t>
        </is>
      </c>
      <c r="T5" s="9">
        <f>IF(OR(M5="Kauf abgeschlossen",M5="Verloren",M5="Warten auf Raum"),"o",IF(O5&lt;TODAY(),"!",IF(O5&lt;=TODAY()+1,"~","ok")))</f>
        <v/>
      </c>
    </row>
    <row r="6" ht="20" customHeight="1">
      <c r="A6" s="2" t="inlineStr">
        <is>
          <t>2026-0005</t>
        </is>
      </c>
      <c r="B6" s="3" t="n">
        <v>46161</v>
      </c>
      <c r="C6" s="2" t="inlineStr">
        <is>
          <t>Daniel</t>
        </is>
      </c>
      <c r="D6" s="4" t="inlineStr">
        <is>
          <t>Hr. Pichler</t>
        </is>
      </c>
      <c r="E6" s="4" t="inlineStr">
        <is>
          <t>0664 4567890</t>
        </is>
      </c>
      <c r="F6" s="4" t="inlineStr">
        <is>
          <t>Laufband</t>
        </is>
      </c>
      <c r="G6" s="4" t="inlineStr">
        <is>
          <t>Modell A - 1890</t>
        </is>
      </c>
      <c r="H6" s="4" t="inlineStr">
        <is>
          <t>—</t>
        </is>
      </c>
      <c r="I6" s="2" t="inlineStr">
        <is>
          <t>A</t>
        </is>
      </c>
      <c r="J6" s="4" t="inlineStr">
        <is>
          <t>Budget</t>
        </is>
      </c>
      <c r="K6" s="2" t="inlineStr">
        <is>
          <t>E3</t>
        </is>
      </c>
      <c r="L6" s="5" t="n">
        <v>4</v>
      </c>
      <c r="M6" s="4" t="inlineStr">
        <is>
          <t>Angebot konkret</t>
        </is>
      </c>
      <c r="N6" s="4" t="inlineStr">
        <is>
          <t>Check-Anruf</t>
        </is>
      </c>
      <c r="O6" s="3" t="n">
        <v>46169</v>
      </c>
      <c r="P6" s="2" t="n">
        <v>1890</v>
      </c>
      <c r="Q6" s="2" t="inlineStr">
        <is>
          <t>Offen</t>
        </is>
      </c>
      <c r="R6" s="4" t="inlineStr">
        <is>
          <t>—</t>
        </is>
      </c>
      <c r="S6" s="4" t="inlineStr">
        <is>
          <t>Finanzierung angefragt</t>
        </is>
      </c>
      <c r="T6" s="5">
        <f>IF(OR(M6="Kauf abgeschlossen",M6="Verloren",M6="Warten auf Raum"),"o",IF(O6&lt;TODAY(),"!",IF(O6&lt;=TODAY()+1,"~","ok")))</f>
        <v/>
      </c>
    </row>
    <row r="7" ht="20" customHeight="1">
      <c r="A7" s="6" t="inlineStr">
        <is>
          <t>2026-0006</t>
        </is>
      </c>
      <c r="B7" s="7" t="n">
        <v>46162</v>
      </c>
      <c r="C7" s="6" t="inlineStr">
        <is>
          <t>Jonas</t>
        </is>
      </c>
      <c r="D7" s="8" t="inlineStr">
        <is>
          <t>Fam. Schmid</t>
        </is>
      </c>
      <c r="E7" s="8" t="inlineStr">
        <is>
          <t>0676 5678901</t>
        </is>
      </c>
      <c r="F7" s="8" t="inlineStr">
        <is>
          <t>Kraftstation</t>
        </is>
      </c>
      <c r="G7" s="8" t="inlineStr">
        <is>
          <t>Multi-Station - 3490</t>
        </is>
      </c>
      <c r="H7" s="8" t="inlineStr">
        <is>
          <t>—</t>
        </is>
      </c>
      <c r="I7" s="6" t="inlineStr">
        <is>
          <t>E</t>
        </is>
      </c>
      <c r="J7" s="8" t="inlineStr">
        <is>
          <t>Raum</t>
        </is>
      </c>
      <c r="K7" s="6" t="inlineStr">
        <is>
          <t>E5</t>
        </is>
      </c>
      <c r="L7" s="6" t="n">
        <v>3</v>
      </c>
      <c r="M7" s="8" t="inlineStr">
        <is>
          <t>Warten auf Raum</t>
        </is>
      </c>
      <c r="N7" s="8" t="inlineStr">
        <is>
          <t>Wiedervorlage</t>
        </is>
      </c>
      <c r="O7" s="7" t="n">
        <v>46280</v>
      </c>
      <c r="P7" s="6" t="n">
        <v>3490</v>
      </c>
      <c r="Q7" s="6" t="inlineStr">
        <is>
          <t>Offen</t>
        </is>
      </c>
      <c r="R7" s="8" t="inlineStr">
        <is>
          <t>—</t>
        </is>
      </c>
      <c r="S7" s="8" t="inlineStr">
        <is>
          <t>Keller-Rohbau im Herbst</t>
        </is>
      </c>
      <c r="T7" s="9">
        <f>IF(OR(M7="Kauf abgeschlossen",M7="Verloren",M7="Warten auf Raum"),"o",IF(O7&lt;TODAY(),"!",IF(O7&lt;=TODAY()+1,"~","ok")))</f>
        <v/>
      </c>
    </row>
    <row r="8" ht="20" customHeight="1">
      <c r="A8" s="2" t="inlineStr">
        <is>
          <t>2026-0007</t>
        </is>
      </c>
      <c r="B8" s="3" t="n">
        <v>46163</v>
      </c>
      <c r="C8" s="2" t="inlineStr">
        <is>
          <t>Angie</t>
        </is>
      </c>
      <c r="D8" s="4" t="inlineStr">
        <is>
          <t>Fr. Wieser</t>
        </is>
      </c>
      <c r="E8" s="4" t="inlineStr">
        <is>
          <t>fr.wieser@mail.at</t>
        </is>
      </c>
      <c r="F8" s="4" t="inlineStr">
        <is>
          <t>Ergometer</t>
        </is>
      </c>
      <c r="G8" s="4" t="inlineStr">
        <is>
          <t>Modell E - 990</t>
        </is>
      </c>
      <c r="H8" s="4" t="inlineStr">
        <is>
          <t>—</t>
        </is>
      </c>
      <c r="I8" s="2" t="inlineStr">
        <is>
          <t>A</t>
        </is>
      </c>
      <c r="J8" s="4" t="inlineStr">
        <is>
          <t>—</t>
        </is>
      </c>
      <c r="K8" s="2" t="inlineStr">
        <is>
          <t>—</t>
        </is>
      </c>
      <c r="L8" s="5" t="n">
        <v>5</v>
      </c>
      <c r="M8" s="4" t="inlineStr">
        <is>
          <t>Kauf abgeschlossen</t>
        </is>
      </c>
      <c r="N8" s="4" t="inlineStr">
        <is>
          <t>—</t>
        </is>
      </c>
      <c r="O8" s="3" t="n">
        <v>46163</v>
      </c>
      <c r="P8" s="2" t="n">
        <v>990</v>
      </c>
      <c r="Q8" s="2" t="inlineStr">
        <is>
          <t>Ja</t>
        </is>
      </c>
      <c r="R8" s="4" t="inlineStr">
        <is>
          <t>—</t>
        </is>
      </c>
      <c r="S8" s="4" t="inlineStr">
        <is>
          <t>Geschenk fuer Ehemann</t>
        </is>
      </c>
      <c r="T8" s="5">
        <f>IF(OR(M8="Kauf abgeschlossen",M8="Verloren",M8="Warten auf Raum"),"o",IF(O8&lt;TODAY(),"!",IF(O8&lt;=TODAY()+1,"~","ok")))</f>
        <v/>
      </c>
    </row>
    <row r="9" ht="20" customHeight="1">
      <c r="A9" s="6" t="inlineStr">
        <is>
          <t>2026-0008</t>
        </is>
      </c>
      <c r="B9" s="7" t="n">
        <v>46164</v>
      </c>
      <c r="C9" s="6" t="inlineStr">
        <is>
          <t>Norbert</t>
        </is>
      </c>
      <c r="D9" s="8" t="inlineStr">
        <is>
          <t>Hr. Lindner</t>
        </is>
      </c>
      <c r="E9" s="8" t="inlineStr">
        <is>
          <t>0699 6789012</t>
        </is>
      </c>
      <c r="F9" s="8" t="inlineStr">
        <is>
          <t>Laufband</t>
        </is>
      </c>
      <c r="G9" s="8" t="inlineStr">
        <is>
          <t>Modell C - 1290</t>
        </is>
      </c>
      <c r="H9" s="8" t="inlineStr">
        <is>
          <t>Modell C basic - 790</t>
        </is>
      </c>
      <c r="I9" s="6" t="inlineStr">
        <is>
          <t>D</t>
        </is>
      </c>
      <c r="J9" s="8" t="inlineStr">
        <is>
          <t>Budget</t>
        </is>
      </c>
      <c r="K9" s="6" t="inlineStr">
        <is>
          <t>E3</t>
        </is>
      </c>
      <c r="L9" s="6" t="n">
        <v>2</v>
      </c>
      <c r="M9" s="8" t="inlineStr">
        <is>
          <t>Verloren</t>
        </is>
      </c>
      <c r="N9" s="8" t="inlineStr">
        <is>
          <t>—</t>
        </is>
      </c>
      <c r="O9" s="7" t="n">
        <v>46168</v>
      </c>
      <c r="P9" s="6" t="n">
        <v>0</v>
      </c>
      <c r="Q9" s="6" t="inlineStr">
        <is>
          <t>Nein</t>
        </is>
      </c>
      <c r="R9" s="8" t="inlineStr">
        <is>
          <t>Online</t>
        </is>
      </c>
      <c r="S9" s="8" t="inlineStr">
        <is>
          <t>Online guenstiger gekauft</t>
        </is>
      </c>
      <c r="T9" s="9">
        <f>IF(OR(M9="Kauf abgeschlossen",M9="Verloren",M9="Warten auf Raum"),"o",IF(O9&lt;TODAY(),"!",IF(O9&lt;=TODAY()+1,"~","ok")))</f>
        <v/>
      </c>
    </row>
    <row r="10" ht="20" customHeight="1">
      <c r="A10" s="2" t="inlineStr">
        <is>
          <t>2026-0009</t>
        </is>
      </c>
      <c r="B10" s="3" t="n">
        <v>46165</v>
      </c>
      <c r="C10" s="2" t="inlineStr">
        <is>
          <t>Daniel</t>
        </is>
      </c>
      <c r="D10" s="4" t="inlineStr">
        <is>
          <t>Fam. Huber</t>
        </is>
      </c>
      <c r="E10" s="4" t="inlineStr">
        <is>
          <t>0664 7890123</t>
        </is>
      </c>
      <c r="F10" s="4" t="inlineStr">
        <is>
          <t>Laufband</t>
        </is>
      </c>
      <c r="G10" s="4" t="inlineStr">
        <is>
          <t>noch offen</t>
        </is>
      </c>
      <c r="H10" s="4" t="inlineStr">
        <is>
          <t>—</t>
        </is>
      </c>
      <c r="I10" s="2" t="inlineStr">
        <is>
          <t>C</t>
        </is>
      </c>
      <c r="J10" s="4" t="inlineStr">
        <is>
          <t>Nutzung</t>
        </is>
      </c>
      <c r="K10" s="2" t="inlineStr">
        <is>
          <t>E6</t>
        </is>
      </c>
      <c r="L10" s="2" t="n">
        <v>2</v>
      </c>
      <c r="M10" s="4" t="inlineStr">
        <is>
          <t>Beratung offen</t>
        </is>
      </c>
      <c r="N10" s="4" t="inlineStr">
        <is>
          <t>Check-Anruf</t>
        </is>
      </c>
      <c r="O10" s="3" t="n">
        <v>46175</v>
      </c>
      <c r="P10" s="2" t="n">
        <v>0</v>
      </c>
      <c r="Q10" s="2" t="inlineStr">
        <is>
          <t>Offen</t>
        </is>
      </c>
      <c r="R10" s="4" t="inlineStr">
        <is>
          <t>—</t>
        </is>
      </c>
      <c r="S10" s="4" t="inlineStr">
        <is>
          <t>Noch unsicher welches Modell</t>
        </is>
      </c>
      <c r="T10" s="5">
        <f>IF(OR(M10="Kauf abgeschlossen",M10="Verloren",M10="Warten auf Raum"),"o",IF(O10&lt;TODAY(),"!",IF(O10&lt;=TODAY()+1,"~","ok")))</f>
        <v/>
      </c>
    </row>
    <row r="11" ht="20" customHeight="1">
      <c r="A11" s="6" t="inlineStr">
        <is>
          <t>2026-0010</t>
        </is>
      </c>
      <c r="B11" s="7" t="n">
        <v>46166</v>
      </c>
      <c r="C11" s="6" t="inlineStr">
        <is>
          <t>Jonas</t>
        </is>
      </c>
      <c r="D11" s="8" t="inlineStr">
        <is>
          <t>Hr. Brunner</t>
        </is>
      </c>
      <c r="E11" s="8" t="inlineStr">
        <is>
          <t>0676 8901234</t>
        </is>
      </c>
      <c r="F11" s="8" t="inlineStr">
        <is>
          <t>Crosstrainer</t>
        </is>
      </c>
      <c r="G11" s="8" t="inlineStr">
        <is>
          <t>Modell X - 1490</t>
        </is>
      </c>
      <c r="H11" s="8" t="inlineStr">
        <is>
          <t>—</t>
        </is>
      </c>
      <c r="I11" s="6" t="inlineStr">
        <is>
          <t>B</t>
        </is>
      </c>
      <c r="J11" s="8" t="inlineStr">
        <is>
          <t>Maße</t>
        </is>
      </c>
      <c r="K11" s="6" t="inlineStr">
        <is>
          <t>E1</t>
        </is>
      </c>
      <c r="L11" s="9" t="n">
        <v>4</v>
      </c>
      <c r="M11" s="8" t="inlineStr">
        <is>
          <t>Heimcheck angelegt</t>
        </is>
      </c>
      <c r="N11" s="8" t="inlineStr">
        <is>
          <t>Check-Anruf</t>
        </is>
      </c>
      <c r="O11" s="7" t="n">
        <v>46173</v>
      </c>
      <c r="P11" s="6" t="n">
        <v>1490</v>
      </c>
      <c r="Q11" s="6" t="inlineStr">
        <is>
          <t>Offen</t>
        </is>
      </c>
      <c r="R11" s="8" t="inlineStr">
        <is>
          <t>—</t>
        </is>
      </c>
      <c r="S11" s="8" t="inlineStr">
        <is>
          <t>Deckenhoehe pruefen</t>
        </is>
      </c>
      <c r="T11" s="9">
        <f>IF(OR(M11="Kauf abgeschlossen",M11="Verloren",M11="Warten auf Raum"),"o",IF(O11&lt;TODAY(),"!",IF(O11&lt;=TODAY()+1,"~","ok")))</f>
        <v/>
      </c>
    </row>
  </sheetData>
  <autoFilter ref="A1:T1"/>
  <conditionalFormatting sqref="M2:M2000">
    <cfRule type="expression" priority="1" dxfId="0">
      <formula>M2="Kauf abgeschlossen"</formula>
    </cfRule>
    <cfRule type="expression" priority="2" dxfId="1">
      <formula>M2="Verloren"</formula>
    </cfRule>
    <cfRule type="expression" priority="3" dxfId="2">
      <formula>M2="Heimcheck angelegt"</formula>
    </cfRule>
    <cfRule type="expression" priority="4" dxfId="3">
      <formula>M2="Entscheidungscheck geplant"</formula>
    </cfRule>
    <cfRule type="expression" priority="5" dxfId="4">
      <formula>M2="Angebot konkret"</formula>
    </cfRule>
    <cfRule type="expression" priority="6" dxfId="5">
      <formula>M2="Warten auf Raum"</formula>
    </cfRule>
  </conditionalFormatting>
  <conditionalFormatting sqref="O2:O2000">
    <cfRule type="expression" priority="7" dxfId="6">
      <formula>AND(O2&lt;TODAY(),O2&lt;&gt;"",NOT(OR(M2="Kauf abgeschlossen",M2="Verloren",M2="Warten auf Raum")))</formula>
    </cfRule>
    <cfRule type="expression" priority="8" dxfId="3">
      <formula>AND(O2&lt;=TODAY()+1,O2&gt;=TODAY(),NOT(OR(M2="Kauf abgeschlossen",M2="Verloren",M2="Warten auf Raum")))</formula>
    </cfRule>
  </conditionalFormatting>
  <conditionalFormatting sqref="T2:T2000">
    <cfRule type="expression" priority="9" dxfId="6">
      <formula>T2="!"</formula>
    </cfRule>
    <cfRule type="expression" priority="10" dxfId="3">
      <formula>T2="~"</formula>
    </cfRule>
    <cfRule type="expression" priority="11" dxfId="7">
      <formula>T2="ok"</formula>
    </cfRule>
    <cfRule type="expression" priority="12" dxfId="8">
      <formula>T2="o"</formula>
    </cfRule>
  </conditionalFormatting>
  <conditionalFormatting sqref="L2:L2000">
    <cfRule type="expression" priority="13" dxfId="7">
      <formula>L2=5</formula>
    </cfRule>
    <cfRule type="expression" priority="14" dxfId="9">
      <formula>L2=4</formula>
    </cfRule>
    <cfRule type="expression" priority="15" dxfId="10">
      <formula>L2&lt;=2</formula>
    </cfRule>
  </conditionalFormatting>
  <dataValidations count="9">
    <dataValidation sqref="C2:C2000" showDropDown="0" showInputMessage="0" showErrorMessage="0" allowBlank="1" type="list">
      <formula1>"Daniel,Jonas,Angie,Norbert"</formula1>
    </dataValidation>
    <dataValidation sqref="F2:F2000" showDropDown="0" showInputMessage="0" showErrorMessage="0" allowBlank="1" type="list">
      <formula1>"Laufband,Ergometer,Crosstrainer,Rudergeraet,Kraftstation,Sonstiges"</formula1>
    </dataValidation>
    <dataValidation sqref="I2:I2000" showDropDown="0" showInputMessage="0" showErrorMessage="0" allowBlank="1" type="list">
      <formula1>"A,B,C,D,E,F,G,H,I,J"</formula1>
    </dataValidation>
    <dataValidation sqref="K2:K2000" showDropDown="0" showInputMessage="0" showErrorMessage="0" allowBlank="1" type="list">
      <formula1>"E1,E2,E3,E4,E5,E6,E7,-"</formula1>
    </dataValidation>
    <dataValidation sqref="L2:L2000" showDropDown="0" showInputMessage="0" showErrorMessage="0" allowBlank="1" type="list">
      <formula1>"1,2,3,4,5"</formula1>
    </dataValidation>
    <dataValidation sqref="M2:M2000" showDropDown="0" showInputMessage="0" showErrorMessage="0" allowBlank="1" type="list">
      <formula1>"Beratung offen,Heimcheck angelegt,Entscheidungscheck geplant,Angebot konkret,Kauf abgeschlossen,Warten auf Raum,Verloren"</formula1>
    </dataValidation>
    <dataValidation sqref="N2:N2000" showDropDown="0" showInputMessage="0" showErrorMessage="0" allowBlank="1" type="list">
      <formula1>"Check-Anruf,2. Besuch,Wiedervorlage,-"</formula1>
    </dataValidation>
    <dataValidation sqref="Q2:Q2000" showDropDown="0" showInputMessage="0" showErrorMessage="0" allowBlank="1" type="list">
      <formula1>"Ja,Nein,Offen"</formula1>
    </dataValidation>
    <dataValidation sqref="R2:R2000" showDropDown="0" showInputMessage="0" showErrorMessage="0" allowBlank="1" type="list">
      <formula1>"Online,Preis,Kein Bedarf,Konkurrenz,Keine Rueckmeldung,-"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22" customWidth="1" min="5" max="5"/>
  </cols>
  <sheetData>
    <row r="1" ht="36" customHeight="1">
      <c r="A1" s="10" t="inlineStr">
        <is>
          <t>FITSHOP HALL/TIROL  ·  KPI DASHBOARD 2026</t>
        </is>
      </c>
    </row>
    <row r="2" ht="18" customHeight="1">
      <c r="A2" s="11" t="inlineStr">
        <is>
          <t>Werte werden automatisch aus Lead-Tracking 2026 berechnet  |  Ampel: ! = ueberfaellig  ~ = heute/morgen  ok = im Plan  o = abgeschlossen</t>
        </is>
      </c>
    </row>
    <row r="4" ht="24" customHeight="1">
      <c r="A4" s="12" t="inlineStr"/>
      <c r="B4" s="12" t="inlineStr">
        <is>
          <t>Gesamt</t>
        </is>
      </c>
      <c r="C4" s="12" t="inlineStr">
        <is>
          <t>Daniel</t>
        </is>
      </c>
      <c r="D4" s="12" t="inlineStr">
        <is>
          <t>Jonas</t>
        </is>
      </c>
      <c r="E4" s="12" t="inlineStr">
        <is>
          <t>Angie + Norbert</t>
        </is>
      </c>
    </row>
    <row r="5" ht="22" customHeight="1">
      <c r="A5" s="13" t="inlineStr">
        <is>
          <t>Leads gesamt</t>
        </is>
      </c>
      <c r="B5" s="14">
        <f>COUNTA('Lead-Tracking 2026'!A2:A5000)</f>
        <v/>
      </c>
      <c r="C5" s="14">
        <f>COUNTIF('Lead-Tracking 2026'!C2:C5000,"Daniel")</f>
        <v/>
      </c>
      <c r="D5" s="14">
        <f>COUNTIF('Lead-Tracking 2026'!C2:C5000,"Jonas")</f>
        <v/>
      </c>
      <c r="E5" s="14">
        <f>COUNTIFS('Lead-Tracking 2026'!C2:C5000,"Angie")+COUNTIFS('Lead-Tracking 2026'!C2:C5000,"Norbert")</f>
        <v/>
      </c>
    </row>
    <row r="6" ht="22" customHeight="1">
      <c r="A6" s="15" t="inlineStr">
        <is>
          <t>Abschluesse (Kauf Ja)</t>
        </is>
      </c>
      <c r="B6" s="16">
        <f>COUNTIF('Lead-Tracking 2026'!Q2:Q5000,"Ja")</f>
        <v/>
      </c>
      <c r="C6" s="16">
        <f>COUNTIFS('Lead-Tracking 2026'!C2:C5000,"Daniel",'Lead-Tracking 2026'!Q2:Q5000,"Ja")</f>
        <v/>
      </c>
      <c r="D6" s="16">
        <f>COUNTIFS('Lead-Tracking 2026'!C2:C5000,"Jonas",'Lead-Tracking 2026'!Q2:Q5000,"Ja")</f>
        <v/>
      </c>
      <c r="E6" s="16">
        <f>COUNTIFS('Lead-Tracking 2026'!C2:C5000,"Angie",'Lead-Tracking 2026'!Q2:Q5000,"Ja")+COUNTIFS('Lead-Tracking 2026'!C2:C5000,"Norbert",'Lead-Tracking 2026'!Q2:Q5000,"Ja")</f>
        <v/>
      </c>
    </row>
    <row r="7" ht="22" customHeight="1">
      <c r="A7" s="13" t="inlineStr">
        <is>
          <t>Abschlussquote</t>
        </is>
      </c>
      <c r="B7" s="17">
        <f>IF(B5=0,"—",B6/B5)</f>
        <v/>
      </c>
      <c r="C7" s="17">
        <f>IF(C5=0,"—",C6/C5)</f>
        <v/>
      </c>
      <c r="D7" s="17">
        <f>IF(D5=0,"—",D6/D5)</f>
        <v/>
      </c>
      <c r="E7" s="17">
        <f>IF(E5=0,"—",E6/E5)</f>
        <v/>
      </c>
    </row>
    <row r="8" ht="22" customHeight="1">
      <c r="A8" s="15" t="inlineStr">
        <is>
          <t>Offene Leads</t>
        </is>
      </c>
      <c r="B8" s="16">
        <f>COUNTIF('Lead-Tracking 2026'!Q2:Q5000,"Offen")</f>
        <v/>
      </c>
      <c r="C8" s="16">
        <f>COUNTIFS('Lead-Tracking 2026'!C2:C5000,"Daniel",'Lead-Tracking 2026'!Q2:Q5000,"Offen")</f>
        <v/>
      </c>
      <c r="D8" s="16">
        <f>COUNTIFS('Lead-Tracking 2026'!C2:C5000,"Jonas",'Lead-Tracking 2026'!Q2:Q5000,"Offen")</f>
        <v/>
      </c>
      <c r="E8" s="16">
        <f>COUNTIFS('Lead-Tracking 2026'!C2:C5000,"Angie",'Lead-Tracking 2026'!Q2:Q5000,"Offen")+COUNTIFS('Lead-Tracking 2026'!C2:C5000,"Norbert",'Lead-Tracking 2026'!Q2:Q5000,"Offen")</f>
        <v/>
      </c>
    </row>
    <row r="9" ht="22" customHeight="1">
      <c r="A9" s="13" t="inlineStr">
        <is>
          <t>Verluste</t>
        </is>
      </c>
      <c r="B9" s="14">
        <f>COUNTIF('Lead-Tracking 2026'!Q2:Q5000,"Nein")</f>
        <v/>
      </c>
      <c r="C9" s="14">
        <f>COUNTIFS('Lead-Tracking 2026'!C2:C5000,"Daniel",'Lead-Tracking 2026'!Q2:Q5000,"Nein")</f>
        <v/>
      </c>
      <c r="D9" s="14">
        <f>COUNTIFS('Lead-Tracking 2026'!C2:C5000,"Jonas",'Lead-Tracking 2026'!Q2:Q5000,"Nein")</f>
        <v/>
      </c>
      <c r="E9" s="14">
        <f>COUNTIFS('Lead-Tracking 2026'!C2:C5000,"Angie",'Lead-Tracking 2026'!Q2:Q5000,"Nein")+COUNTIFS('Lead-Tracking 2026'!C2:C5000,"Norbert",'Lead-Tracking 2026'!Q2:Q5000,"Nein")</f>
        <v/>
      </c>
    </row>
    <row r="10" ht="22" customHeight="1">
      <c r="A10" s="15" t="inlineStr">
        <is>
          <t>Heimchecks angelegt</t>
        </is>
      </c>
      <c r="B10" s="16">
        <f>COUNTIF('Lead-Tracking 2026'!M2:M5000,"Heimcheck angelegt")</f>
        <v/>
      </c>
      <c r="C10" s="16">
        <f>COUNTIFS('Lead-Tracking 2026'!C2:C5000,"Daniel",'Lead-Tracking 2026'!M2:M5000,"Heimcheck angelegt")</f>
        <v/>
      </c>
      <c r="D10" s="16">
        <f>COUNTIFS('Lead-Tracking 2026'!C2:C5000,"Jonas",'Lead-Tracking 2026'!M2:M5000,"Heimcheck angelegt")</f>
        <v/>
      </c>
      <c r="E10" s="16">
        <f>COUNTIFS('Lead-Tracking 2026'!C2:C5000,"Angie",'Lead-Tracking 2026'!M2:M5000,"Heimcheck angelegt")+COUNTIFS('Lead-Tracking 2026'!C2:C5000,"Norbert",'Lead-Tracking 2026'!M2:M5000,"Heimcheck angelegt")</f>
        <v/>
      </c>
    </row>
    <row r="11" ht="22" customHeight="1">
      <c r="A11" s="13" t="inlineStr">
        <is>
          <t>Umsatz realisiert (EUR)</t>
        </is>
      </c>
      <c r="B11" s="18">
        <f>SUMIF('Lead-Tracking 2026'!Q2:Q5000,"Ja",'Lead-Tracking 2026'!P2:P5000)</f>
        <v/>
      </c>
      <c r="C11" s="18">
        <f>SUMIFS('Lead-Tracking 2026'!P2:P5000,'Lead-Tracking 2026'!C2:C5000,"Daniel",'Lead-Tracking 2026'!Q2:Q5000,"Ja")</f>
        <v/>
      </c>
      <c r="D11" s="18">
        <f>SUMIFS('Lead-Tracking 2026'!P2:P5000,'Lead-Tracking 2026'!C2:C5000,"Jonas",'Lead-Tracking 2026'!Q2:Q5000,"Ja")</f>
        <v/>
      </c>
      <c r="E11" s="18">
        <f>SUMIFS('Lead-Tracking 2026'!P2:P5000,'Lead-Tracking 2026'!C2:C5000,"Angie",'Lead-Tracking 2026'!Q2:Q5000,"Ja")+SUMIFS('Lead-Tracking 2026'!P2:P5000,'Lead-Tracking 2026'!C2:C5000,"Norbert",'Lead-Tracking 2026'!Q2:Q5000,"Ja")</f>
        <v/>
      </c>
    </row>
    <row r="12" ht="22" customHeight="1">
      <c r="A12" s="15" t="inlineStr">
        <is>
          <t>Umsatz Pipeline offen (EUR)</t>
        </is>
      </c>
      <c r="B12" s="19">
        <f>SUMIF('Lead-Tracking 2026'!Q2:Q5000,"Offen",'Lead-Tracking 2026'!P2:P5000)</f>
        <v/>
      </c>
      <c r="C12" s="19">
        <f>SUMIFS('Lead-Tracking 2026'!P2:P5000,'Lead-Tracking 2026'!C2:C5000,"Daniel",'Lead-Tracking 2026'!Q2:Q5000,"Offen")</f>
        <v/>
      </c>
      <c r="D12" s="19">
        <f>SUMIFS('Lead-Tracking 2026'!P2:P5000,'Lead-Tracking 2026'!C2:C5000,"Jonas",'Lead-Tracking 2026'!Q2:Q5000,"Offen")</f>
        <v/>
      </c>
      <c r="E12" s="19">
        <f>SUMIFS('Lead-Tracking 2026'!P2:P5000,'Lead-Tracking 2026'!C2:C5000,"Angie",'Lead-Tracking 2026'!Q2:Q5000,"Offen")+SUMIFS('Lead-Tracking 2026'!P2:P5000,'Lead-Tracking 2026'!C2:C5000,"Norbert",'Lead-Tracking 2026'!Q2:Q5000,"Offen")</f>
        <v/>
      </c>
    </row>
    <row r="13" ht="22" customHeight="1">
      <c r="A13" s="13" t="inlineStr">
        <is>
          <t>Durchschn. Angebotswert (EUR)</t>
        </is>
      </c>
      <c r="B13" s="18">
        <f>IFERROR(AVERAGEIF('Lead-Tracking 2026'!P2:P5000,"&gt;"&amp;0),"—")</f>
        <v/>
      </c>
      <c r="C13" s="18">
        <f>IFERROR(AVERAGEIFS('Lead-Tracking 2026'!P2:P5000,'Lead-Tracking 2026'!C2:C5000,"Daniel",'Lead-Tracking 2026'!P2:P5000,"&gt;"&amp;0),"—")</f>
        <v/>
      </c>
      <c r="D13" s="18">
        <f>IFERROR(AVERAGEIFS('Lead-Tracking 2026'!P2:P5000,'Lead-Tracking 2026'!C2:C5000,"Jonas",'Lead-Tracking 2026'!P2:P5000,"&gt;"&amp;0),"—")</f>
        <v/>
      </c>
      <c r="E13" s="18">
        <f>IFERROR(AVERAGEIFS('Lead-Tracking 2026'!P2:P5000,'Lead-Tracking 2026'!C2:C5000,"Angie",'Lead-Tracking 2026'!P2:P5000,"&gt;"&amp;0)+AVERAGEIFS('Lead-Tracking 2026'!P2:P5000,'Lead-Tracking 2026'!C2:C5000,"Norbert",'Lead-Tracking 2026'!P2:P5000,"&gt;"&amp;0),"—")</f>
        <v/>
      </c>
    </row>
    <row r="14" ht="22" customHeight="1">
      <c r="A14" s="15" t="inlineStr">
        <is>
          <t>Ueberfaellige Leads (!)</t>
        </is>
      </c>
      <c r="B14" s="16">
        <f>COUNTIFS('Lead-Tracking 2026'!O2:O5000,"&lt;"&amp;TODAY(),'Lead-Tracking 2026'!Q2:Q5000,"Offen")</f>
        <v/>
      </c>
      <c r="C14" s="16">
        <f>COUNTIFS('Lead-Tracking 2026'!C2:C5000,"Daniel",'Lead-Tracking 2026'!O2:O5000,"&lt;"&amp;TODAY(),'Lead-Tracking 2026'!Q2:Q5000,"Offen")</f>
        <v/>
      </c>
      <c r="D14" s="16">
        <f>COUNTIFS('Lead-Tracking 2026'!C2:C5000,"Jonas",'Lead-Tracking 2026'!O2:O5000,"&lt;"&amp;TODAY(),'Lead-Tracking 2026'!Q2:Q5000,"Offen")</f>
        <v/>
      </c>
      <c r="E14" s="16">
        <f>COUNTIFS('Lead-Tracking 2026'!C2:C5000,"Angie",'Lead-Tracking 2026'!O2:O5000,"&lt;"&amp;TODAY(),'Lead-Tracking 2026'!Q2:Q5000,"Offen")+COUNTIFS('Lead-Tracking 2026'!C2:C5000,"Norbert",'Lead-Tracking 2026'!O2:O5000,"&lt;"&amp;TODAY(),'Lead-Tracking 2026'!Q2:Q5000,"Offen")</f>
        <v/>
      </c>
    </row>
    <row r="17" ht="22" customHeight="1">
      <c r="A17" s="20" t="inlineStr">
        <is>
          <t>VERLUSTANALYSE</t>
        </is>
      </c>
    </row>
    <row r="18" ht="20" customHeight="1">
      <c r="A18" s="21" t="inlineStr">
        <is>
          <t>Online</t>
        </is>
      </c>
      <c r="B18" s="16">
        <f>COUNTIF('Lead-Tracking 2026'!R2:R5000,A18)</f>
        <v/>
      </c>
      <c r="C18" s="22" t="n"/>
    </row>
    <row r="19" ht="20" customHeight="1">
      <c r="A19" s="23" t="inlineStr">
        <is>
          <t>Preis</t>
        </is>
      </c>
      <c r="B19" s="14">
        <f>COUNTIF('Lead-Tracking 2026'!R2:R5000,A19)</f>
        <v/>
      </c>
      <c r="C19" s="24" t="n"/>
    </row>
    <row r="20" ht="20" customHeight="1">
      <c r="A20" s="21" t="inlineStr">
        <is>
          <t>Kein Bedarf</t>
        </is>
      </c>
      <c r="B20" s="16">
        <f>COUNTIF('Lead-Tracking 2026'!R2:R5000,A20)</f>
        <v/>
      </c>
      <c r="C20" s="22" t="n"/>
    </row>
    <row r="21" ht="20" customHeight="1">
      <c r="A21" s="23" t="inlineStr">
        <is>
          <t>Konkurrenz</t>
        </is>
      </c>
      <c r="B21" s="14">
        <f>COUNTIF('Lead-Tracking 2026'!R2:R5000,A21)</f>
        <v/>
      </c>
      <c r="C21" s="24" t="n"/>
    </row>
    <row r="22" ht="20" customHeight="1">
      <c r="A22" s="21" t="inlineStr">
        <is>
          <t>Keine Rueckmeldung</t>
        </is>
      </c>
      <c r="B22" s="16">
        <f>COUNTIF('Lead-Tracking 2026'!R2:R5000,A22)</f>
        <v/>
      </c>
      <c r="C22" s="22" t="n"/>
    </row>
  </sheetData>
  <mergeCells count="8">
    <mergeCell ref="C19:E19"/>
    <mergeCell ref="A2:E2"/>
    <mergeCell ref="C22:E22"/>
    <mergeCell ref="C18:E18"/>
    <mergeCell ref="A1:E1"/>
    <mergeCell ref="C21:E21"/>
    <mergeCell ref="C20:E20"/>
    <mergeCell ref="A17:E17"/>
  </mergeCells>
  <conditionalFormatting sqref="B14:E14">
    <cfRule type="expression" priority="1" dxfId="11">
      <formula>B14&gt;0</formula>
    </cfRule>
  </conditionalFormatting>
  <conditionalFormatting sqref="B7:E7">
    <cfRule type="expression" priority="2" dxfId="12">
      <formula>ISNUMBER(B7)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30" customWidth="1" min="3" max="3"/>
    <col width="5" customWidth="1" min="4" max="4"/>
  </cols>
  <sheetData>
    <row r="1" ht="32" customHeight="1">
      <c r="A1" s="25" t="inlineStr">
        <is>
          <t>FITSHOP TRACKING SYSTEM – LEGENDE 2026</t>
        </is>
      </c>
    </row>
    <row r="3" ht="22" customHeight="1">
      <c r="A3" s="20" t="inlineStr">
        <is>
          <t>KUNDENTYPEN (Spalte Typ)</t>
        </is>
      </c>
    </row>
    <row r="4" ht="18" customHeight="1">
      <c r="A4" s="4" t="inlineStr">
        <is>
          <t>A – Sofortkaeufer</t>
        </is>
      </c>
      <c r="B4" s="4" t="inlineStr">
        <is>
          <t>Kauft heute, kein Heimcheck noetig</t>
        </is>
      </c>
      <c r="C4" s="4" t="inlineStr">
        <is>
          <t>Direktabschluss</t>
        </is>
      </c>
    </row>
    <row r="5" ht="18" customHeight="1">
      <c r="A5" s="8" t="inlineStr">
        <is>
          <t>B – Logischer Pruefer</t>
        </is>
      </c>
      <c r="B5" s="8" t="inlineStr">
        <is>
          <t>Will Fakten, muss Masse nehmen</t>
        </is>
      </c>
      <c r="C5" s="8" t="inlineStr">
        <is>
          <t>Heimcheck vereinbaren</t>
        </is>
      </c>
    </row>
    <row r="6" ht="18" customHeight="1">
      <c r="A6" s="4" t="inlineStr">
        <is>
          <t>C – Unsicherer</t>
        </is>
      </c>
      <c r="B6" s="4" t="inlineStr">
        <is>
          <t>Braucht Bestaetigung oder Partner</t>
        </is>
      </c>
      <c r="C6" s="4" t="inlineStr">
        <is>
          <t>Partner einladen / 2. Besuch</t>
        </is>
      </c>
    </row>
    <row r="7" ht="18" customHeight="1">
      <c r="A7" s="8" t="inlineStr">
        <is>
          <t>D – Preisfokussierter</t>
        </is>
      </c>
      <c r="B7" s="8" t="inlineStr">
        <is>
          <t>Vergleicht online, Budget-sensibel</t>
        </is>
      </c>
      <c r="C7" s="8" t="inlineStr">
        <is>
          <t>Mehrwert argumentieren</t>
        </is>
      </c>
    </row>
    <row r="8" ht="18" customHeight="1">
      <c r="A8" s="4" t="inlineStr">
        <is>
          <t>E – Raumplaner</t>
        </is>
      </c>
      <c r="B8" s="4" t="inlineStr">
        <is>
          <t>Raum noch nicht fertig</t>
        </is>
      </c>
      <c r="C8" s="4" t="inlineStr">
        <is>
          <t>Wiedervorlage in X Monaten</t>
        </is>
      </c>
    </row>
    <row r="9" ht="18" customHeight="1">
      <c r="A9" s="8" t="inlineStr">
        <is>
          <t>F – Gesundheitskunde</t>
        </is>
      </c>
      <c r="B9" s="8" t="inlineStr">
        <is>
          <t>Arzt-/Reha-Empfehlung</t>
        </is>
      </c>
      <c r="C9" s="8" t="inlineStr">
        <is>
          <t>Empfehlung aufgreifen</t>
        </is>
      </c>
    </row>
    <row r="10" ht="18" customHeight="1">
      <c r="A10" s="4" t="inlineStr">
        <is>
          <t>G – Geschenkekaeufer</t>
        </is>
      </c>
      <c r="B10" s="4" t="inlineStr">
        <is>
          <t>Kauft fuer jemand anderen</t>
        </is>
      </c>
      <c r="C10" s="4" t="inlineStr">
        <is>
          <t>Direkt zum Abschluss</t>
        </is>
      </c>
    </row>
    <row r="11" ht="18" customHeight="1">
      <c r="A11" s="8" t="inlineStr">
        <is>
          <t>H – Wiederkaeeufer</t>
        </is>
      </c>
      <c r="B11" s="8" t="inlineStr">
        <is>
          <t>Kennt Fitshop schon</t>
        </is>
      </c>
      <c r="C11" s="8" t="inlineStr">
        <is>
          <t>Upgrade / Ergaenzung</t>
        </is>
      </c>
    </row>
    <row r="12" ht="18" customHeight="1">
      <c r="A12" s="4" t="inlineStr">
        <is>
          <t>I – Profi/Enthusiast</t>
        </is>
      </c>
      <c r="B12" s="4" t="inlineStr">
        <is>
          <t>Sehr technisch, viel Ahnung</t>
        </is>
      </c>
      <c r="C12" s="4" t="inlineStr">
        <is>
          <t>Auf Augenhoehe beraten</t>
        </is>
      </c>
    </row>
    <row r="13" ht="18" customHeight="1">
      <c r="A13" s="8" t="inlineStr">
        <is>
          <t>J – B2B/Verein</t>
        </is>
      </c>
      <c r="B13" s="8" t="inlineStr">
        <is>
          <t>Unternehmen, Hotel, Schule, Verein</t>
        </is>
      </c>
      <c r="C13" s="8" t="inlineStr">
        <is>
          <t>Angebot + Termin</t>
        </is>
      </c>
    </row>
    <row r="15" ht="22" customHeight="1">
      <c r="A15" s="20" t="inlineStr">
        <is>
          <t>EINWANDTYPEN (Spalte Einwand)</t>
        </is>
      </c>
    </row>
    <row r="16" ht="18" customHeight="1">
      <c r="A16" s="4" t="inlineStr">
        <is>
          <t>E1 – Masse unklar</t>
        </is>
      </c>
      <c r="B16" s="4" t="inlineStr">
        <is>
          <t>Raum/Flaeche muss gemessen werden</t>
        </is>
      </c>
      <c r="C16" s="4" t="inlineStr">
        <is>
          <t>Heimcheck vereinbaren</t>
        </is>
      </c>
    </row>
    <row r="17" ht="18" customHeight="1">
      <c r="A17" s="8" t="inlineStr">
        <is>
          <t>E2 – Partner fehlt</t>
        </is>
      </c>
      <c r="B17" s="8" t="inlineStr">
        <is>
          <t>Entscheidung nicht alleine moeglich</t>
        </is>
      </c>
      <c r="C17" s="8" t="inlineStr">
        <is>
          <t>2. Besuch mit Partner</t>
        </is>
      </c>
    </row>
    <row r="18" ht="18" customHeight="1">
      <c r="A18" s="4" t="inlineStr">
        <is>
          <t>E3 – Budget</t>
        </is>
      </c>
      <c r="B18" s="4" t="inlineStr">
        <is>
          <t>Preis ist Huerden, Finanzierung pruefen</t>
        </is>
      </c>
      <c r="C18" s="4" t="inlineStr">
        <is>
          <t>Finanzierung zeigen</t>
        </is>
      </c>
    </row>
    <row r="19" ht="18" customHeight="1">
      <c r="A19" s="8" t="inlineStr">
        <is>
          <t>E4 – Qualitaet/Marke</t>
        </is>
      </c>
      <c r="B19" s="8" t="inlineStr">
        <is>
          <t>Zweifel an Produkt oder Marke</t>
        </is>
      </c>
      <c r="C19" s="8" t="inlineStr">
        <is>
          <t>Testfahrt, Garantie</t>
        </is>
      </c>
    </row>
    <row r="20" ht="18" customHeight="1">
      <c r="A20" s="4" t="inlineStr">
        <is>
          <t>E5 – Raum nicht fertig</t>
        </is>
      </c>
      <c r="B20" s="4" t="inlineStr">
        <is>
          <t>Umbau / Renovierung laeuft noch</t>
        </is>
      </c>
      <c r="C20" s="4" t="inlineStr">
        <is>
          <t>Wiedervorlage Herbst</t>
        </is>
      </c>
    </row>
    <row r="21" ht="18" customHeight="1">
      <c r="A21" s="8" t="inlineStr">
        <is>
          <t>E6 – Nutzungskomfort</t>
        </is>
      </c>
      <c r="B21" s="8" t="inlineStr">
        <is>
          <t>Unsicher ob Geraet zum Training passt</t>
        </is>
      </c>
      <c r="C21" s="8" t="inlineStr">
        <is>
          <t>Nutzungsanalyse vertiefen</t>
        </is>
      </c>
    </row>
    <row r="22" ht="18" customHeight="1">
      <c r="A22" s="4" t="inlineStr">
        <is>
          <t>E7 – Keine Dringlichkeit</t>
        </is>
      </c>
      <c r="B22" s="4" t="inlineStr">
        <is>
          <t>Kein Zeitdruck, kein Anlass</t>
        </is>
      </c>
      <c r="C22" s="4" t="inlineStr">
        <is>
          <t>Anlass schaffen / ankern</t>
        </is>
      </c>
    </row>
    <row r="24" ht="22" customHeight="1">
      <c r="A24" s="20" t="inlineStr">
        <is>
          <t>STATUS-AMPEL (Spalte A / Check-Datum)</t>
        </is>
      </c>
    </row>
    <row r="25" ht="18" customHeight="1">
      <c r="A25" s="26" t="inlineStr">
        <is>
          <t>ok  (gruen)</t>
        </is>
      </c>
      <c r="B25" s="27" t="inlineStr">
        <is>
          <t>Check-Datum liegt in &gt; 2 Tagen – alles im Plan</t>
        </is>
      </c>
      <c r="C25" s="28" t="n"/>
    </row>
    <row r="26" ht="18" customHeight="1">
      <c r="A26" s="29" t="inlineStr">
        <is>
          <t>~   (gelb)</t>
        </is>
      </c>
      <c r="B26" s="30" t="inlineStr">
        <is>
          <t>Check-Datum heute oder morgen – sofort handeln</t>
        </is>
      </c>
      <c r="C26" s="28" t="n"/>
    </row>
    <row r="27" ht="18" customHeight="1">
      <c r="A27" s="31" t="inlineStr">
        <is>
          <t>!   (rot)</t>
        </is>
      </c>
      <c r="B27" s="32" t="inlineStr">
        <is>
          <t>Check-Datum ueberschritten – dringend nachfassen!</t>
        </is>
      </c>
      <c r="C27" s="28" t="n"/>
    </row>
    <row r="28" ht="18" customHeight="1">
      <c r="A28" s="33" t="inlineStr">
        <is>
          <t>o   (grau)</t>
        </is>
      </c>
      <c r="B28" s="34" t="inlineStr">
        <is>
          <t>Abgeschlossen / Verloren / Wartet – kein Follow-up</t>
        </is>
      </c>
      <c r="C28" s="28" t="n"/>
    </row>
    <row r="30" ht="22" customHeight="1">
      <c r="A30" s="20" t="inlineStr">
        <is>
          <t>STATUS-FARBKODIERUNG (Spalte Status)</t>
        </is>
      </c>
    </row>
    <row r="31" ht="18" customHeight="1">
      <c r="A31" s="35" t="inlineStr">
        <is>
          <t>Kauf abgeschlossen</t>
        </is>
      </c>
      <c r="B31" s="27" t="inlineStr">
        <is>
          <t>Gruen</t>
        </is>
      </c>
      <c r="C31" s="27" t="inlineStr">
        <is>
          <t>Abgeschlossen, kein Follow-up</t>
        </is>
      </c>
    </row>
    <row r="32" ht="18" customHeight="1">
      <c r="A32" s="36" t="inlineStr">
        <is>
          <t>Heimcheck angelegt</t>
        </is>
      </c>
      <c r="B32" s="37" t="inlineStr">
        <is>
          <t>Blau</t>
        </is>
      </c>
      <c r="C32" s="37" t="inlineStr">
        <is>
          <t>Naechster Schritt: Check-Anruf</t>
        </is>
      </c>
    </row>
    <row r="33" ht="18" customHeight="1">
      <c r="A33" s="38" t="inlineStr">
        <is>
          <t>Entscheidungscheck geplant</t>
        </is>
      </c>
      <c r="B33" s="30" t="inlineStr">
        <is>
          <t>Gelb</t>
        </is>
      </c>
      <c r="C33" s="30" t="inlineStr">
        <is>
          <t>Kurz vor Abschluss</t>
        </is>
      </c>
    </row>
    <row r="34" ht="18" customHeight="1">
      <c r="A34" s="39" t="inlineStr">
        <is>
          <t>Angebot konkret</t>
        </is>
      </c>
      <c r="B34" s="40" t="inlineStr">
        <is>
          <t>Orange</t>
        </is>
      </c>
      <c r="C34" s="40" t="inlineStr">
        <is>
          <t>Angebot liegt vor, nachfassen</t>
        </is>
      </c>
    </row>
    <row r="35" ht="18" customHeight="1">
      <c r="A35" s="41" t="inlineStr">
        <is>
          <t>Verloren</t>
        </is>
      </c>
      <c r="B35" s="32" t="inlineStr">
        <is>
          <t>Rot</t>
        </is>
      </c>
      <c r="C35" s="32" t="inlineStr">
        <is>
          <t>Lead verloren, Verlustgrund eintragen</t>
        </is>
      </c>
    </row>
    <row r="36" ht="18" customHeight="1">
      <c r="A36" s="42" t="inlineStr">
        <is>
          <t>Warten auf Raum</t>
        </is>
      </c>
      <c r="B36" s="34" t="inlineStr">
        <is>
          <t>Grau</t>
        </is>
      </c>
      <c r="C36" s="34" t="inlineStr">
        <is>
          <t>Wiedervorlage in Monaten</t>
        </is>
      </c>
    </row>
  </sheetData>
  <mergeCells count="9">
    <mergeCell ref="A1:C1"/>
    <mergeCell ref="B25:C25"/>
    <mergeCell ref="B27:C27"/>
    <mergeCell ref="B28:C28"/>
    <mergeCell ref="A3:C3"/>
    <mergeCell ref="A30:C30"/>
    <mergeCell ref="B26:C26"/>
    <mergeCell ref="A15:C15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2026-06-03T10:23:57Z</dcterms:created>
  <dcterms:modified xsi:type="dcterms:W3CDTF">2026-06-03T10:23:57Z</dcterms:modified>
</cp:coreProperties>
</file>