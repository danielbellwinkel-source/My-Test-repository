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-Tracking 2026" sheetId="1" state="visible" r:id="rId1"/>
    <sheet name="KPI Dashboard" sheetId="2" state="visible" r:id="rId2"/>
    <sheet name="Legende" sheetId="3" state="visible" r:id="rId3"/>
  </sheets>
  <definedNames>
    <definedName name="_xlnm._FilterDatabase" localSheetId="0" hidden="1">'Lead-Tracking 2026'!$A$3:$T$3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UR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AAAAAA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999999"/>
      <sz val="8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E31E24"/>
        <bgColor rgb="00E31E24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ECEFF1"/>
        <bgColor rgb="00ECEFF1"/>
      </patternFill>
    </fill>
    <fill>
      <patternFill patternType="solid">
        <fgColor rgb="00E3F2FD"/>
        <bgColor rgb="00E3F2FD"/>
      </patternFill>
    </fill>
    <fill>
      <patternFill patternType="solid">
        <fgColor rgb="00FFE0B2"/>
        <bgColor rgb="00FFE0B2"/>
      </patternFill>
    </fill>
  </fills>
  <borders count="4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CC0000"/>
      </left>
      <right style="thin">
        <color rgb="00CC0000"/>
      </right>
      <top style="thin">
        <color rgb="00CC0000"/>
      </top>
      <bottom style="thin">
        <color rgb="00CC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9" fontId="9" fillId="5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9" fillId="5" borderId="2" pivotButton="0" quotePrefix="0" xfId="0"/>
    <xf numFmtId="0" fontId="8" fillId="5" borderId="2" applyAlignment="1" pivotButton="0" quotePrefix="0" xfId="0">
      <alignment horizontal="center" vertical="center"/>
    </xf>
    <xf numFmtId="0" fontId="0" fillId="5" borderId="0" pivotButton="0" quotePrefix="0" xfId="0"/>
    <xf numFmtId="0" fontId="9" fillId="4" borderId="2" pivotButton="0" quotePrefix="0" xfId="0"/>
    <xf numFmtId="0" fontId="8" fillId="4" borderId="2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5" fillId="6" borderId="2" pivotButton="0" quotePrefix="0" xfId="0"/>
    <xf numFmtId="0" fontId="8" fillId="7" borderId="2" applyAlignment="1" pivotButton="0" quotePrefix="0" xfId="0">
      <alignment horizontal="center" vertical="center"/>
    </xf>
    <xf numFmtId="0" fontId="5" fillId="7" borderId="2" pivotButton="0" quotePrefix="0" xfId="0"/>
    <xf numFmtId="0" fontId="8" fillId="8" borderId="2" applyAlignment="1" pivotButton="0" quotePrefix="0" xfId="0">
      <alignment horizontal="center" vertical="center"/>
    </xf>
    <xf numFmtId="0" fontId="5" fillId="8" borderId="2" pivotButton="0" quotePrefix="0" xfId="0"/>
    <xf numFmtId="0" fontId="8" fillId="9" borderId="2" applyAlignment="1" pivotButton="0" quotePrefix="0" xfId="0">
      <alignment horizontal="center" vertical="center"/>
    </xf>
    <xf numFmtId="0" fontId="5" fillId="9" borderId="2" pivotButton="0" quotePrefix="0" xfId="0"/>
    <xf numFmtId="0" fontId="4" fillId="6" borderId="2" pivotButton="0" quotePrefix="0" xfId="0"/>
    <xf numFmtId="0" fontId="4" fillId="10" borderId="2" pivotButton="0" quotePrefix="0" xfId="0"/>
    <xf numFmtId="0" fontId="5" fillId="10" borderId="2" pivotButton="0" quotePrefix="0" xfId="0"/>
    <xf numFmtId="0" fontId="4" fillId="7" borderId="2" pivotButton="0" quotePrefix="0" xfId="0"/>
    <xf numFmtId="0" fontId="4" fillId="11" borderId="2" pivotButton="0" quotePrefix="0" xfId="0"/>
    <xf numFmtId="0" fontId="5" fillId="11" borderId="2" pivotButton="0" quotePrefix="0" xfId="0"/>
    <xf numFmtId="0" fontId="4" fillId="8" borderId="2" pivotButton="0" quotePrefix="0" xfId="0"/>
    <xf numFmtId="0" fontId="4" fillId="9" borderId="2" pivotButton="0" quotePrefix="0" xfId="0"/>
  </cellXfs>
  <cellStyles count="1">
    <cellStyle name="Normal" xfId="0" builtinId="0" hidden="0"/>
  </cellStyles>
  <dxfs count="13">
    <dxf>
      <font>
        <name val="Calibri"/>
        <color rgb="001B5E20"/>
        <sz val="9"/>
      </font>
      <fill>
        <patternFill patternType="solid">
          <fgColor rgb="00C8E6C9"/>
          <bgColor rgb="00C8E6C9"/>
        </patternFill>
      </fill>
    </dxf>
    <dxf>
      <font>
        <name val="Calibri"/>
        <color rgb="00B71C1C"/>
        <sz val="9"/>
      </font>
      <fill>
        <patternFill patternType="solid">
          <fgColor rgb="00FFCDD2"/>
          <bgColor rgb="00FFCDD2"/>
        </patternFill>
      </fill>
    </dxf>
    <dxf>
      <font>
        <name val="Calibri"/>
        <color rgb="000D47A1"/>
        <sz val="9"/>
      </font>
      <fill>
        <patternFill patternType="solid">
          <fgColor rgb="00E3F2FD"/>
          <bgColor rgb="00E3F2FD"/>
        </patternFill>
      </fill>
    </dxf>
    <dxf>
      <font>
        <name val="Calibri"/>
        <b val="1"/>
        <color rgb="00F57F17"/>
        <sz val="9"/>
      </font>
      <fill>
        <patternFill patternType="solid">
          <fgColor rgb="00FFF9C4"/>
          <bgColor rgb="00FFF9C4"/>
        </patternFill>
      </fill>
    </dxf>
    <dxf>
      <font>
        <name val="Calibri"/>
        <b val="1"/>
        <color rgb="00BF360C"/>
        <sz val="9"/>
      </font>
      <fill>
        <patternFill patternType="solid">
          <fgColor rgb="00FFE0B2"/>
          <bgColor rgb="00FFE0B2"/>
        </patternFill>
      </fill>
    </dxf>
    <dxf>
      <font>
        <name val="Calibri"/>
        <color rgb="00546E7A"/>
        <sz val="9"/>
      </font>
      <fill>
        <patternFill patternType="solid">
          <fgColor rgb="00ECEFF1"/>
          <bgColor rgb="00ECEFF1"/>
        </patternFill>
      </fill>
    </dxf>
    <dxf>
      <font>
        <name val="Calibri"/>
        <b val="1"/>
        <color rgb="00B71C1C"/>
        <sz val="9"/>
      </font>
      <fill>
        <patternFill patternType="solid">
          <fgColor rgb="00FFCDD2"/>
          <bgColor rgb="00FFCDD2"/>
        </patternFill>
      </fill>
    </dxf>
    <dxf>
      <font>
        <name val="Calibri"/>
        <b val="1"/>
        <color rgb="001B5E20"/>
        <sz val="9"/>
      </font>
      <fill>
        <patternFill patternType="solid">
          <fgColor rgb="00C8E6C9"/>
          <bgColor rgb="00C8E6C9"/>
        </patternFill>
      </fill>
    </dxf>
    <dxf>
      <font>
        <name val="Calibri"/>
        <b val="1"/>
        <color rgb="00546E7A"/>
        <sz val="9"/>
      </font>
      <fill>
        <patternFill patternType="solid">
          <fgColor rgb="00ECEFF1"/>
          <bgColor rgb="00ECEFF1"/>
        </patternFill>
      </fill>
    </dxf>
    <dxf>
      <font>
        <name val="Calibri"/>
        <b val="1"/>
        <color rgb="00000000"/>
        <sz val="9"/>
      </font>
      <fill>
        <patternFill patternType="solid">
          <fgColor rgb="00FFE0B2"/>
          <bgColor rgb="00FFE0B2"/>
        </patternFill>
      </fill>
    </dxf>
    <dxf>
      <font>
        <name val="Calibri"/>
        <color rgb="00888888"/>
        <sz val="9"/>
      </font>
      <fill>
        <patternFill patternType="solid">
          <fgColor rgb="00ECEFF1"/>
          <bgColor rgb="00ECEFF1"/>
        </patternFill>
      </fill>
    </dxf>
    <dxf>
      <font>
        <name val="Calibri"/>
        <b val="1"/>
        <color rgb="00B71C1C"/>
        <sz val="10"/>
      </font>
      <fill>
        <patternFill patternType="solid">
          <fgColor rgb="00FFCDD2"/>
          <bgColor rgb="00FFCDD2"/>
        </patternFill>
      </fill>
    </dxf>
    <dxf>
      <font>
        <name val="Calibri"/>
        <b val="1"/>
        <color rgb="001B5E20"/>
        <sz val="10"/>
      </font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7" customWidth="1" min="5" max="5"/>
    <col width="14" customWidth="1" min="6" max="6"/>
    <col width="24" customWidth="1" min="7" max="7"/>
    <col width="20" customWidth="1" min="8" max="8"/>
    <col width="6" customWidth="1" min="9" max="9"/>
    <col width="15" customWidth="1" min="10" max="10"/>
    <col width="10" customWidth="1" min="11" max="11"/>
    <col width="5" customWidth="1" min="12" max="12"/>
    <col width="22" customWidth="1" min="13" max="13"/>
    <col width="16" customWidth="1" min="14" max="14"/>
    <col width="13" customWidth="1" min="15" max="15"/>
    <col width="15" customWidth="1" min="16" max="16"/>
    <col width="11" customWidth="1" min="17" max="17"/>
    <col width="14" customWidth="1" min="18" max="18"/>
    <col width="28" customWidth="1" min="19" max="19"/>
    <col width="4" customWidth="1" min="20" max="20"/>
  </cols>
  <sheetData>
    <row r="1" ht="38" customHeight="1">
      <c r="A1" s="1" t="inlineStr">
        <is>
          <t>FITSHOP</t>
        </is>
      </c>
    </row>
    <row r="2" ht="18" customHeight="1">
      <c r="A2" s="2" t="inlineStr">
        <is>
          <t>LEAD-TRACKING 2026  ·  Hall/Tirol</t>
        </is>
      </c>
    </row>
    <row r="3" ht="26" customHeight="1">
      <c r="A3" s="3" t="inlineStr">
        <is>
          <t>Lead-Nr</t>
        </is>
      </c>
      <c r="B3" s="3" t="inlineStr">
        <is>
          <t>Datum</t>
        </is>
      </c>
      <c r="C3" s="3" t="inlineStr">
        <is>
          <t>Mitarbeiter</t>
        </is>
      </c>
      <c r="D3" s="3" t="inlineStr">
        <is>
          <t>Kunde</t>
        </is>
      </c>
      <c r="E3" s="3" t="inlineStr">
        <is>
          <t>Kontakt</t>
        </is>
      </c>
      <c r="F3" s="3" t="inlineStr">
        <is>
          <t>Kategorie</t>
        </is>
      </c>
      <c r="G3" s="3" t="inlineStr">
        <is>
          <t>Favorit (Modell+Preis)</t>
        </is>
      </c>
      <c r="H3" s="3" t="inlineStr">
        <is>
          <t>Alternative</t>
        </is>
      </c>
      <c r="I3" s="3" t="inlineStr">
        <is>
          <t>Typ</t>
        </is>
      </c>
      <c r="J3" s="3" t="inlineStr">
        <is>
          <t>Offener Punkt</t>
        </is>
      </c>
      <c r="K3" s="3" t="inlineStr">
        <is>
          <t>Einwand</t>
        </is>
      </c>
      <c r="L3" s="3" t="inlineStr">
        <is>
          <t>KR</t>
        </is>
      </c>
      <c r="M3" s="3" t="inlineStr">
        <is>
          <t>Status</t>
        </is>
      </c>
      <c r="N3" s="3" t="inlineStr">
        <is>
          <t>Naechster Schritt</t>
        </is>
      </c>
      <c r="O3" s="3" t="inlineStr">
        <is>
          <t>Check-Datum</t>
        </is>
      </c>
      <c r="P3" s="3" t="inlineStr">
        <is>
          <t>Angebotswert EUR</t>
        </is>
      </c>
      <c r="Q3" s="3" t="inlineStr">
        <is>
          <t>Abschluss</t>
        </is>
      </c>
      <c r="R3" s="3" t="inlineStr">
        <is>
          <t>Verlustgrund</t>
        </is>
      </c>
      <c r="S3" s="3" t="inlineStr">
        <is>
          <t>Notiz</t>
        </is>
      </c>
      <c r="T3" s="3" t="inlineStr">
        <is>
          <t>A</t>
        </is>
      </c>
    </row>
    <row r="4" ht="20" customHeight="1">
      <c r="A4" s="4" t="n"/>
      <c r="B4" s="5" t="n"/>
      <c r="C4" s="4" t="n"/>
      <c r="D4" s="5" t="n"/>
      <c r="E4" s="5" t="n"/>
      <c r="F4" s="5" t="n"/>
      <c r="G4" s="5" t="n"/>
      <c r="H4" s="5" t="n"/>
      <c r="I4" s="4" t="n"/>
      <c r="J4" s="5" t="n"/>
      <c r="K4" s="4" t="n"/>
      <c r="L4" s="4" t="n"/>
      <c r="M4" s="5" t="n"/>
      <c r="N4" s="5" t="n"/>
      <c r="O4" s="4" t="n"/>
      <c r="P4" s="4" t="n"/>
      <c r="Q4" s="4" t="n"/>
      <c r="R4" s="5" t="n"/>
      <c r="S4" s="5" t="n"/>
      <c r="T4" s="6">
        <f>IF(M4="","",IF(OR(M4="Kauf abgeschlossen",M4="Verloren",M4="Warten auf Raum"),"o",IF(O4="","",IF(O4&lt;TODAY(),"!",IF(O4&lt;=TODAY()+1,"~","ok")))))</f>
        <v/>
      </c>
    </row>
    <row r="5" ht="20" customHeight="1">
      <c r="A5" s="7" t="n"/>
      <c r="B5" s="8" t="n"/>
      <c r="C5" s="7" t="n"/>
      <c r="D5" s="8" t="n"/>
      <c r="E5" s="8" t="n"/>
      <c r="F5" s="8" t="n"/>
      <c r="G5" s="8" t="n"/>
      <c r="H5" s="8" t="n"/>
      <c r="I5" s="7" t="n"/>
      <c r="J5" s="8" t="n"/>
      <c r="K5" s="7" t="n"/>
      <c r="L5" s="7" t="n"/>
      <c r="M5" s="8" t="n"/>
      <c r="N5" s="8" t="n"/>
      <c r="O5" s="7" t="n"/>
      <c r="P5" s="7" t="n"/>
      <c r="Q5" s="7" t="n"/>
      <c r="R5" s="8" t="n"/>
      <c r="S5" s="8" t="n"/>
      <c r="T5" s="9">
        <f>IF(M5="","",IF(OR(M5="Kauf abgeschlossen",M5="Verloren",M5="Warten auf Raum"),"o",IF(O5="","",IF(O5&lt;TODAY(),"!",IF(O5&lt;=TODAY()+1,"~","ok")))))</f>
        <v/>
      </c>
    </row>
    <row r="6" ht="20" customHeight="1">
      <c r="A6" s="4" t="n"/>
      <c r="B6" s="5" t="n"/>
      <c r="C6" s="4" t="n"/>
      <c r="D6" s="5" t="n"/>
      <c r="E6" s="5" t="n"/>
      <c r="F6" s="5" t="n"/>
      <c r="G6" s="5" t="n"/>
      <c r="H6" s="5" t="n"/>
      <c r="I6" s="4" t="n"/>
      <c r="J6" s="5" t="n"/>
      <c r="K6" s="4" t="n"/>
      <c r="L6" s="4" t="n"/>
      <c r="M6" s="5" t="n"/>
      <c r="N6" s="5" t="n"/>
      <c r="O6" s="4" t="n"/>
      <c r="P6" s="4" t="n"/>
      <c r="Q6" s="4" t="n"/>
      <c r="R6" s="5" t="n"/>
      <c r="S6" s="5" t="n"/>
      <c r="T6" s="6">
        <f>IF(M6="","",IF(OR(M6="Kauf abgeschlossen",M6="Verloren",M6="Warten auf Raum"),"o",IF(O6="","",IF(O6&lt;TODAY(),"!",IF(O6&lt;=TODAY()+1,"~","ok")))))</f>
        <v/>
      </c>
    </row>
    <row r="7" ht="20" customHeight="1">
      <c r="A7" s="7" t="n"/>
      <c r="B7" s="8" t="n"/>
      <c r="C7" s="7" t="n"/>
      <c r="D7" s="8" t="n"/>
      <c r="E7" s="8" t="n"/>
      <c r="F7" s="8" t="n"/>
      <c r="G7" s="8" t="n"/>
      <c r="H7" s="8" t="n"/>
      <c r="I7" s="7" t="n"/>
      <c r="J7" s="8" t="n"/>
      <c r="K7" s="7" t="n"/>
      <c r="L7" s="7" t="n"/>
      <c r="M7" s="8" t="n"/>
      <c r="N7" s="8" t="n"/>
      <c r="O7" s="7" t="n"/>
      <c r="P7" s="7" t="n"/>
      <c r="Q7" s="7" t="n"/>
      <c r="R7" s="8" t="n"/>
      <c r="S7" s="8" t="n"/>
      <c r="T7" s="9">
        <f>IF(M7="","",IF(OR(M7="Kauf abgeschlossen",M7="Verloren",M7="Warten auf Raum"),"o",IF(O7="","",IF(O7&lt;TODAY(),"!",IF(O7&lt;=TODAY()+1,"~","ok")))))</f>
        <v/>
      </c>
    </row>
    <row r="8" ht="20" customHeight="1">
      <c r="A8" s="4" t="n"/>
      <c r="B8" s="5" t="n"/>
      <c r="C8" s="4" t="n"/>
      <c r="D8" s="5" t="n"/>
      <c r="E8" s="5" t="n"/>
      <c r="F8" s="5" t="n"/>
      <c r="G8" s="5" t="n"/>
      <c r="H8" s="5" t="n"/>
      <c r="I8" s="4" t="n"/>
      <c r="J8" s="5" t="n"/>
      <c r="K8" s="4" t="n"/>
      <c r="L8" s="4" t="n"/>
      <c r="M8" s="5" t="n"/>
      <c r="N8" s="5" t="n"/>
      <c r="O8" s="4" t="n"/>
      <c r="P8" s="4" t="n"/>
      <c r="Q8" s="4" t="n"/>
      <c r="R8" s="5" t="n"/>
      <c r="S8" s="5" t="n"/>
      <c r="T8" s="6">
        <f>IF(M8="","",IF(OR(M8="Kauf abgeschlossen",M8="Verloren",M8="Warten auf Raum"),"o",IF(O8="","",IF(O8&lt;TODAY(),"!",IF(O8&lt;=TODAY()+1,"~","ok")))))</f>
        <v/>
      </c>
    </row>
    <row r="9" ht="20" customHeight="1">
      <c r="A9" s="7" t="n"/>
      <c r="B9" s="8" t="n"/>
      <c r="C9" s="7" t="n"/>
      <c r="D9" s="8" t="n"/>
      <c r="E9" s="8" t="n"/>
      <c r="F9" s="8" t="n"/>
      <c r="G9" s="8" t="n"/>
      <c r="H9" s="8" t="n"/>
      <c r="I9" s="7" t="n"/>
      <c r="J9" s="8" t="n"/>
      <c r="K9" s="7" t="n"/>
      <c r="L9" s="7" t="n"/>
      <c r="M9" s="8" t="n"/>
      <c r="N9" s="8" t="n"/>
      <c r="O9" s="7" t="n"/>
      <c r="P9" s="7" t="n"/>
      <c r="Q9" s="7" t="n"/>
      <c r="R9" s="8" t="n"/>
      <c r="S9" s="8" t="n"/>
      <c r="T9" s="9">
        <f>IF(M9="","",IF(OR(M9="Kauf abgeschlossen",M9="Verloren",M9="Warten auf Raum"),"o",IF(O9="","",IF(O9&lt;TODAY(),"!",IF(O9&lt;=TODAY()+1,"~","ok")))))</f>
        <v/>
      </c>
    </row>
    <row r="10" ht="20" customHeight="1">
      <c r="A10" s="4" t="n"/>
      <c r="B10" s="5" t="n"/>
      <c r="C10" s="4" t="n"/>
      <c r="D10" s="5" t="n"/>
      <c r="E10" s="5" t="n"/>
      <c r="F10" s="5" t="n"/>
      <c r="G10" s="5" t="n"/>
      <c r="H10" s="5" t="n"/>
      <c r="I10" s="4" t="n"/>
      <c r="J10" s="5" t="n"/>
      <c r="K10" s="4" t="n"/>
      <c r="L10" s="4" t="n"/>
      <c r="M10" s="5" t="n"/>
      <c r="N10" s="5" t="n"/>
      <c r="O10" s="4" t="n"/>
      <c r="P10" s="4" t="n"/>
      <c r="Q10" s="4" t="n"/>
      <c r="R10" s="5" t="n"/>
      <c r="S10" s="5" t="n"/>
      <c r="T10" s="6">
        <f>IF(M10="","",IF(OR(M10="Kauf abgeschlossen",M10="Verloren",M10="Warten auf Raum"),"o",IF(O10="","",IF(O10&lt;TODAY(),"!",IF(O10&lt;=TODAY()+1,"~","ok")))))</f>
        <v/>
      </c>
    </row>
    <row r="11" ht="20" customHeight="1">
      <c r="A11" s="7" t="n"/>
      <c r="B11" s="8" t="n"/>
      <c r="C11" s="7" t="n"/>
      <c r="D11" s="8" t="n"/>
      <c r="E11" s="8" t="n"/>
      <c r="F11" s="8" t="n"/>
      <c r="G11" s="8" t="n"/>
      <c r="H11" s="8" t="n"/>
      <c r="I11" s="7" t="n"/>
      <c r="J11" s="8" t="n"/>
      <c r="K11" s="7" t="n"/>
      <c r="L11" s="7" t="n"/>
      <c r="M11" s="8" t="n"/>
      <c r="N11" s="8" t="n"/>
      <c r="O11" s="7" t="n"/>
      <c r="P11" s="7" t="n"/>
      <c r="Q11" s="7" t="n"/>
      <c r="R11" s="8" t="n"/>
      <c r="S11" s="8" t="n"/>
      <c r="T11" s="9">
        <f>IF(M11="","",IF(OR(M11="Kauf abgeschlossen",M11="Verloren",M11="Warten auf Raum"),"o",IF(O11="","",IF(O11&lt;TODAY(),"!",IF(O11&lt;=TODAY()+1,"~","ok")))))</f>
        <v/>
      </c>
    </row>
    <row r="12" ht="20" customHeight="1">
      <c r="A12" s="4" t="n"/>
      <c r="B12" s="5" t="n"/>
      <c r="C12" s="4" t="n"/>
      <c r="D12" s="5" t="n"/>
      <c r="E12" s="5" t="n"/>
      <c r="F12" s="5" t="n"/>
      <c r="G12" s="5" t="n"/>
      <c r="H12" s="5" t="n"/>
      <c r="I12" s="4" t="n"/>
      <c r="J12" s="5" t="n"/>
      <c r="K12" s="4" t="n"/>
      <c r="L12" s="4" t="n"/>
      <c r="M12" s="5" t="n"/>
      <c r="N12" s="5" t="n"/>
      <c r="O12" s="4" t="n"/>
      <c r="P12" s="4" t="n"/>
      <c r="Q12" s="4" t="n"/>
      <c r="R12" s="5" t="n"/>
      <c r="S12" s="5" t="n"/>
      <c r="T12" s="6">
        <f>IF(M12="","",IF(OR(M12="Kauf abgeschlossen",M12="Verloren",M12="Warten auf Raum"),"o",IF(O12="","",IF(O12&lt;TODAY(),"!",IF(O12&lt;=TODAY()+1,"~","ok")))))</f>
        <v/>
      </c>
    </row>
    <row r="13" ht="20" customHeight="1">
      <c r="A13" s="7" t="n"/>
      <c r="B13" s="8" t="n"/>
      <c r="C13" s="7" t="n"/>
      <c r="D13" s="8" t="n"/>
      <c r="E13" s="8" t="n"/>
      <c r="F13" s="8" t="n"/>
      <c r="G13" s="8" t="n"/>
      <c r="H13" s="8" t="n"/>
      <c r="I13" s="7" t="n"/>
      <c r="J13" s="8" t="n"/>
      <c r="K13" s="7" t="n"/>
      <c r="L13" s="7" t="n"/>
      <c r="M13" s="8" t="n"/>
      <c r="N13" s="8" t="n"/>
      <c r="O13" s="7" t="n"/>
      <c r="P13" s="7" t="n"/>
      <c r="Q13" s="7" t="n"/>
      <c r="R13" s="8" t="n"/>
      <c r="S13" s="8" t="n"/>
      <c r="T13" s="9">
        <f>IF(M13="","",IF(OR(M13="Kauf abgeschlossen",M13="Verloren",M13="Warten auf Raum"),"o",IF(O13="","",IF(O13&lt;TODAY(),"!",IF(O13&lt;=TODAY()+1,"~","ok")))))</f>
        <v/>
      </c>
    </row>
    <row r="14" ht="20" customHeight="1">
      <c r="A14" s="4" t="n"/>
      <c r="B14" s="5" t="n"/>
      <c r="C14" s="4" t="n"/>
      <c r="D14" s="5" t="n"/>
      <c r="E14" s="5" t="n"/>
      <c r="F14" s="5" t="n"/>
      <c r="G14" s="5" t="n"/>
      <c r="H14" s="5" t="n"/>
      <c r="I14" s="4" t="n"/>
      <c r="J14" s="5" t="n"/>
      <c r="K14" s="4" t="n"/>
      <c r="L14" s="4" t="n"/>
      <c r="M14" s="5" t="n"/>
      <c r="N14" s="5" t="n"/>
      <c r="O14" s="4" t="n"/>
      <c r="P14" s="4" t="n"/>
      <c r="Q14" s="4" t="n"/>
      <c r="R14" s="5" t="n"/>
      <c r="S14" s="5" t="n"/>
      <c r="T14" s="6">
        <f>IF(M14="","",IF(OR(M14="Kauf abgeschlossen",M14="Verloren",M14="Warten auf Raum"),"o",IF(O14="","",IF(O14&lt;TODAY(),"!",IF(O14&lt;=TODAY()+1,"~","ok")))))</f>
        <v/>
      </c>
    </row>
    <row r="15" ht="20" customHeight="1">
      <c r="A15" s="7" t="n"/>
      <c r="B15" s="8" t="n"/>
      <c r="C15" s="7" t="n"/>
      <c r="D15" s="8" t="n"/>
      <c r="E15" s="8" t="n"/>
      <c r="F15" s="8" t="n"/>
      <c r="G15" s="8" t="n"/>
      <c r="H15" s="8" t="n"/>
      <c r="I15" s="7" t="n"/>
      <c r="J15" s="8" t="n"/>
      <c r="K15" s="7" t="n"/>
      <c r="L15" s="7" t="n"/>
      <c r="M15" s="8" t="n"/>
      <c r="N15" s="8" t="n"/>
      <c r="O15" s="7" t="n"/>
      <c r="P15" s="7" t="n"/>
      <c r="Q15" s="7" t="n"/>
      <c r="R15" s="8" t="n"/>
      <c r="S15" s="8" t="n"/>
      <c r="T15" s="9">
        <f>IF(M15="","",IF(OR(M15="Kauf abgeschlossen",M15="Verloren",M15="Warten auf Raum"),"o",IF(O15="","",IF(O15&lt;TODAY(),"!",IF(O15&lt;=TODAY()+1,"~","ok")))))</f>
        <v/>
      </c>
    </row>
    <row r="16" ht="20" customHeight="1">
      <c r="A16" s="4" t="n"/>
      <c r="B16" s="5" t="n"/>
      <c r="C16" s="4" t="n"/>
      <c r="D16" s="5" t="n"/>
      <c r="E16" s="5" t="n"/>
      <c r="F16" s="5" t="n"/>
      <c r="G16" s="5" t="n"/>
      <c r="H16" s="5" t="n"/>
      <c r="I16" s="4" t="n"/>
      <c r="J16" s="5" t="n"/>
      <c r="K16" s="4" t="n"/>
      <c r="L16" s="4" t="n"/>
      <c r="M16" s="5" t="n"/>
      <c r="N16" s="5" t="n"/>
      <c r="O16" s="4" t="n"/>
      <c r="P16" s="4" t="n"/>
      <c r="Q16" s="4" t="n"/>
      <c r="R16" s="5" t="n"/>
      <c r="S16" s="5" t="n"/>
      <c r="T16" s="6">
        <f>IF(M16="","",IF(OR(M16="Kauf abgeschlossen",M16="Verloren",M16="Warten auf Raum"),"o",IF(O16="","",IF(O16&lt;TODAY(),"!",IF(O16&lt;=TODAY()+1,"~","ok")))))</f>
        <v/>
      </c>
    </row>
    <row r="17" ht="20" customHeight="1">
      <c r="A17" s="7" t="n"/>
      <c r="B17" s="8" t="n"/>
      <c r="C17" s="7" t="n"/>
      <c r="D17" s="8" t="n"/>
      <c r="E17" s="8" t="n"/>
      <c r="F17" s="8" t="n"/>
      <c r="G17" s="8" t="n"/>
      <c r="H17" s="8" t="n"/>
      <c r="I17" s="7" t="n"/>
      <c r="J17" s="8" t="n"/>
      <c r="K17" s="7" t="n"/>
      <c r="L17" s="7" t="n"/>
      <c r="M17" s="8" t="n"/>
      <c r="N17" s="8" t="n"/>
      <c r="O17" s="7" t="n"/>
      <c r="P17" s="7" t="n"/>
      <c r="Q17" s="7" t="n"/>
      <c r="R17" s="8" t="n"/>
      <c r="S17" s="8" t="n"/>
      <c r="T17" s="9">
        <f>IF(M17="","",IF(OR(M17="Kauf abgeschlossen",M17="Verloren",M17="Warten auf Raum"),"o",IF(O17="","",IF(O17&lt;TODAY(),"!",IF(O17&lt;=TODAY()+1,"~","ok")))))</f>
        <v/>
      </c>
    </row>
    <row r="18" ht="20" customHeight="1">
      <c r="A18" s="4" t="n"/>
      <c r="B18" s="5" t="n"/>
      <c r="C18" s="4" t="n"/>
      <c r="D18" s="5" t="n"/>
      <c r="E18" s="5" t="n"/>
      <c r="F18" s="5" t="n"/>
      <c r="G18" s="5" t="n"/>
      <c r="H18" s="5" t="n"/>
      <c r="I18" s="4" t="n"/>
      <c r="J18" s="5" t="n"/>
      <c r="K18" s="4" t="n"/>
      <c r="L18" s="4" t="n"/>
      <c r="M18" s="5" t="n"/>
      <c r="N18" s="5" t="n"/>
      <c r="O18" s="4" t="n"/>
      <c r="P18" s="4" t="n"/>
      <c r="Q18" s="4" t="n"/>
      <c r="R18" s="5" t="n"/>
      <c r="S18" s="5" t="n"/>
      <c r="T18" s="6">
        <f>IF(M18="","",IF(OR(M18="Kauf abgeschlossen",M18="Verloren",M18="Warten auf Raum"),"o",IF(O18="","",IF(O18&lt;TODAY(),"!",IF(O18&lt;=TODAY()+1,"~","ok")))))</f>
        <v/>
      </c>
    </row>
    <row r="19" ht="20" customHeight="1">
      <c r="A19" s="7" t="n"/>
      <c r="B19" s="8" t="n"/>
      <c r="C19" s="7" t="n"/>
      <c r="D19" s="8" t="n"/>
      <c r="E19" s="8" t="n"/>
      <c r="F19" s="8" t="n"/>
      <c r="G19" s="8" t="n"/>
      <c r="H19" s="8" t="n"/>
      <c r="I19" s="7" t="n"/>
      <c r="J19" s="8" t="n"/>
      <c r="K19" s="7" t="n"/>
      <c r="L19" s="7" t="n"/>
      <c r="M19" s="8" t="n"/>
      <c r="N19" s="8" t="n"/>
      <c r="O19" s="7" t="n"/>
      <c r="P19" s="7" t="n"/>
      <c r="Q19" s="7" t="n"/>
      <c r="R19" s="8" t="n"/>
      <c r="S19" s="8" t="n"/>
      <c r="T19" s="9">
        <f>IF(M19="","",IF(OR(M19="Kauf abgeschlossen",M19="Verloren",M19="Warten auf Raum"),"o",IF(O19="","",IF(O19&lt;TODAY(),"!",IF(O19&lt;=TODAY()+1,"~","ok")))))</f>
        <v/>
      </c>
    </row>
    <row r="20" ht="20" customHeight="1">
      <c r="A20" s="4" t="n"/>
      <c r="B20" s="5" t="n"/>
      <c r="C20" s="4" t="n"/>
      <c r="D20" s="5" t="n"/>
      <c r="E20" s="5" t="n"/>
      <c r="F20" s="5" t="n"/>
      <c r="G20" s="5" t="n"/>
      <c r="H20" s="5" t="n"/>
      <c r="I20" s="4" t="n"/>
      <c r="J20" s="5" t="n"/>
      <c r="K20" s="4" t="n"/>
      <c r="L20" s="4" t="n"/>
      <c r="M20" s="5" t="n"/>
      <c r="N20" s="5" t="n"/>
      <c r="O20" s="4" t="n"/>
      <c r="P20" s="4" t="n"/>
      <c r="Q20" s="4" t="n"/>
      <c r="R20" s="5" t="n"/>
      <c r="S20" s="5" t="n"/>
      <c r="T20" s="6">
        <f>IF(M20="","",IF(OR(M20="Kauf abgeschlossen",M20="Verloren",M20="Warten auf Raum"),"o",IF(O20="","",IF(O20&lt;TODAY(),"!",IF(O20&lt;=TODAY()+1,"~","ok")))))</f>
        <v/>
      </c>
    </row>
    <row r="21" ht="20" customHeight="1">
      <c r="A21" s="7" t="n"/>
      <c r="B21" s="8" t="n"/>
      <c r="C21" s="7" t="n"/>
      <c r="D21" s="8" t="n"/>
      <c r="E21" s="8" t="n"/>
      <c r="F21" s="8" t="n"/>
      <c r="G21" s="8" t="n"/>
      <c r="H21" s="8" t="n"/>
      <c r="I21" s="7" t="n"/>
      <c r="J21" s="8" t="n"/>
      <c r="K21" s="7" t="n"/>
      <c r="L21" s="7" t="n"/>
      <c r="M21" s="8" t="n"/>
      <c r="N21" s="8" t="n"/>
      <c r="O21" s="7" t="n"/>
      <c r="P21" s="7" t="n"/>
      <c r="Q21" s="7" t="n"/>
      <c r="R21" s="8" t="n"/>
      <c r="S21" s="8" t="n"/>
      <c r="T21" s="9">
        <f>IF(M21="","",IF(OR(M21="Kauf abgeschlossen",M21="Verloren",M21="Warten auf Raum"),"o",IF(O21="","",IF(O21&lt;TODAY(),"!",IF(O21&lt;=TODAY()+1,"~","ok")))))</f>
        <v/>
      </c>
    </row>
    <row r="22" ht="20" customHeight="1">
      <c r="A22" s="4" t="n"/>
      <c r="B22" s="5" t="n"/>
      <c r="C22" s="4" t="n"/>
      <c r="D22" s="5" t="n"/>
      <c r="E22" s="5" t="n"/>
      <c r="F22" s="5" t="n"/>
      <c r="G22" s="5" t="n"/>
      <c r="H22" s="5" t="n"/>
      <c r="I22" s="4" t="n"/>
      <c r="J22" s="5" t="n"/>
      <c r="K22" s="4" t="n"/>
      <c r="L22" s="4" t="n"/>
      <c r="M22" s="5" t="n"/>
      <c r="N22" s="5" t="n"/>
      <c r="O22" s="4" t="n"/>
      <c r="P22" s="4" t="n"/>
      <c r="Q22" s="4" t="n"/>
      <c r="R22" s="5" t="n"/>
      <c r="S22" s="5" t="n"/>
      <c r="T22" s="6">
        <f>IF(M22="","",IF(OR(M22="Kauf abgeschlossen",M22="Verloren",M22="Warten auf Raum"),"o",IF(O22="","",IF(O22&lt;TODAY(),"!",IF(O22&lt;=TODAY()+1,"~","ok")))))</f>
        <v/>
      </c>
    </row>
    <row r="23" ht="20" customHeight="1">
      <c r="A23" s="7" t="n"/>
      <c r="B23" s="8" t="n"/>
      <c r="C23" s="7" t="n"/>
      <c r="D23" s="8" t="n"/>
      <c r="E23" s="8" t="n"/>
      <c r="F23" s="8" t="n"/>
      <c r="G23" s="8" t="n"/>
      <c r="H23" s="8" t="n"/>
      <c r="I23" s="7" t="n"/>
      <c r="J23" s="8" t="n"/>
      <c r="K23" s="7" t="n"/>
      <c r="L23" s="7" t="n"/>
      <c r="M23" s="8" t="n"/>
      <c r="N23" s="8" t="n"/>
      <c r="O23" s="7" t="n"/>
      <c r="P23" s="7" t="n"/>
      <c r="Q23" s="7" t="n"/>
      <c r="R23" s="8" t="n"/>
      <c r="S23" s="8" t="n"/>
      <c r="T23" s="9">
        <f>IF(M23="","",IF(OR(M23="Kauf abgeschlossen",M23="Verloren",M23="Warten auf Raum"),"o",IF(O23="","",IF(O23&lt;TODAY(),"!",IF(O23&lt;=TODAY()+1,"~","ok")))))</f>
        <v/>
      </c>
    </row>
    <row r="24" ht="20" customHeight="1">
      <c r="A24" s="4" t="n"/>
      <c r="B24" s="5" t="n"/>
      <c r="C24" s="4" t="n"/>
      <c r="D24" s="5" t="n"/>
      <c r="E24" s="5" t="n"/>
      <c r="F24" s="5" t="n"/>
      <c r="G24" s="5" t="n"/>
      <c r="H24" s="5" t="n"/>
      <c r="I24" s="4" t="n"/>
      <c r="J24" s="5" t="n"/>
      <c r="K24" s="4" t="n"/>
      <c r="L24" s="4" t="n"/>
      <c r="M24" s="5" t="n"/>
      <c r="N24" s="5" t="n"/>
      <c r="O24" s="4" t="n"/>
      <c r="P24" s="4" t="n"/>
      <c r="Q24" s="4" t="n"/>
      <c r="R24" s="5" t="n"/>
      <c r="S24" s="5" t="n"/>
      <c r="T24" s="6">
        <f>IF(M24="","",IF(OR(M24="Kauf abgeschlossen",M24="Verloren",M24="Warten auf Raum"),"o",IF(O24="","",IF(O24&lt;TODAY(),"!",IF(O24&lt;=TODAY()+1,"~","ok")))))</f>
        <v/>
      </c>
    </row>
    <row r="25" ht="20" customHeight="1">
      <c r="A25" s="7" t="n"/>
      <c r="B25" s="8" t="n"/>
      <c r="C25" s="7" t="n"/>
      <c r="D25" s="8" t="n"/>
      <c r="E25" s="8" t="n"/>
      <c r="F25" s="8" t="n"/>
      <c r="G25" s="8" t="n"/>
      <c r="H25" s="8" t="n"/>
      <c r="I25" s="7" t="n"/>
      <c r="J25" s="8" t="n"/>
      <c r="K25" s="7" t="n"/>
      <c r="L25" s="7" t="n"/>
      <c r="M25" s="8" t="n"/>
      <c r="N25" s="8" t="n"/>
      <c r="O25" s="7" t="n"/>
      <c r="P25" s="7" t="n"/>
      <c r="Q25" s="7" t="n"/>
      <c r="R25" s="8" t="n"/>
      <c r="S25" s="8" t="n"/>
      <c r="T25" s="9">
        <f>IF(M25="","",IF(OR(M25="Kauf abgeschlossen",M25="Verloren",M25="Warten auf Raum"),"o",IF(O25="","",IF(O25&lt;TODAY(),"!",IF(O25&lt;=TODAY()+1,"~","ok")))))</f>
        <v/>
      </c>
    </row>
    <row r="26" ht="20" customHeight="1">
      <c r="A26" s="4" t="n"/>
      <c r="B26" s="5" t="n"/>
      <c r="C26" s="4" t="n"/>
      <c r="D26" s="5" t="n"/>
      <c r="E26" s="5" t="n"/>
      <c r="F26" s="5" t="n"/>
      <c r="G26" s="5" t="n"/>
      <c r="H26" s="5" t="n"/>
      <c r="I26" s="4" t="n"/>
      <c r="J26" s="5" t="n"/>
      <c r="K26" s="4" t="n"/>
      <c r="L26" s="4" t="n"/>
      <c r="M26" s="5" t="n"/>
      <c r="N26" s="5" t="n"/>
      <c r="O26" s="4" t="n"/>
      <c r="P26" s="4" t="n"/>
      <c r="Q26" s="4" t="n"/>
      <c r="R26" s="5" t="n"/>
      <c r="S26" s="5" t="n"/>
      <c r="T26" s="6">
        <f>IF(M26="","",IF(OR(M26="Kauf abgeschlossen",M26="Verloren",M26="Warten auf Raum"),"o",IF(O26="","",IF(O26&lt;TODAY(),"!",IF(O26&lt;=TODAY()+1,"~","ok")))))</f>
        <v/>
      </c>
    </row>
    <row r="27" ht="20" customHeight="1">
      <c r="A27" s="7" t="n"/>
      <c r="B27" s="8" t="n"/>
      <c r="C27" s="7" t="n"/>
      <c r="D27" s="8" t="n"/>
      <c r="E27" s="8" t="n"/>
      <c r="F27" s="8" t="n"/>
      <c r="G27" s="8" t="n"/>
      <c r="H27" s="8" t="n"/>
      <c r="I27" s="7" t="n"/>
      <c r="J27" s="8" t="n"/>
      <c r="K27" s="7" t="n"/>
      <c r="L27" s="7" t="n"/>
      <c r="M27" s="8" t="n"/>
      <c r="N27" s="8" t="n"/>
      <c r="O27" s="7" t="n"/>
      <c r="P27" s="7" t="n"/>
      <c r="Q27" s="7" t="n"/>
      <c r="R27" s="8" t="n"/>
      <c r="S27" s="8" t="n"/>
      <c r="T27" s="9">
        <f>IF(M27="","",IF(OR(M27="Kauf abgeschlossen",M27="Verloren",M27="Warten auf Raum"),"o",IF(O27="","",IF(O27&lt;TODAY(),"!",IF(O27&lt;=TODAY()+1,"~","ok")))))</f>
        <v/>
      </c>
    </row>
    <row r="28" ht="20" customHeight="1">
      <c r="A28" s="4" t="n"/>
      <c r="B28" s="5" t="n"/>
      <c r="C28" s="4" t="n"/>
      <c r="D28" s="5" t="n"/>
      <c r="E28" s="5" t="n"/>
      <c r="F28" s="5" t="n"/>
      <c r="G28" s="5" t="n"/>
      <c r="H28" s="5" t="n"/>
      <c r="I28" s="4" t="n"/>
      <c r="J28" s="5" t="n"/>
      <c r="K28" s="4" t="n"/>
      <c r="L28" s="4" t="n"/>
      <c r="M28" s="5" t="n"/>
      <c r="N28" s="5" t="n"/>
      <c r="O28" s="4" t="n"/>
      <c r="P28" s="4" t="n"/>
      <c r="Q28" s="4" t="n"/>
      <c r="R28" s="5" t="n"/>
      <c r="S28" s="5" t="n"/>
      <c r="T28" s="6">
        <f>IF(M28="","",IF(OR(M28="Kauf abgeschlossen",M28="Verloren",M28="Warten auf Raum"),"o",IF(O28="","",IF(O28&lt;TODAY(),"!",IF(O28&lt;=TODAY()+1,"~","ok")))))</f>
        <v/>
      </c>
    </row>
    <row r="29" ht="20" customHeight="1">
      <c r="A29" s="7" t="n"/>
      <c r="B29" s="8" t="n"/>
      <c r="C29" s="7" t="n"/>
      <c r="D29" s="8" t="n"/>
      <c r="E29" s="8" t="n"/>
      <c r="F29" s="8" t="n"/>
      <c r="G29" s="8" t="n"/>
      <c r="H29" s="8" t="n"/>
      <c r="I29" s="7" t="n"/>
      <c r="J29" s="8" t="n"/>
      <c r="K29" s="7" t="n"/>
      <c r="L29" s="7" t="n"/>
      <c r="M29" s="8" t="n"/>
      <c r="N29" s="8" t="n"/>
      <c r="O29" s="7" t="n"/>
      <c r="P29" s="7" t="n"/>
      <c r="Q29" s="7" t="n"/>
      <c r="R29" s="8" t="n"/>
      <c r="S29" s="8" t="n"/>
      <c r="T29" s="9">
        <f>IF(M29="","",IF(OR(M29="Kauf abgeschlossen",M29="Verloren",M29="Warten auf Raum"),"o",IF(O29="","",IF(O29&lt;TODAY(),"!",IF(O29&lt;=TODAY()+1,"~","ok")))))</f>
        <v/>
      </c>
    </row>
    <row r="30" ht="20" customHeight="1">
      <c r="A30" s="4" t="n"/>
      <c r="B30" s="5" t="n"/>
      <c r="C30" s="4" t="n"/>
      <c r="D30" s="5" t="n"/>
      <c r="E30" s="5" t="n"/>
      <c r="F30" s="5" t="n"/>
      <c r="G30" s="5" t="n"/>
      <c r="H30" s="5" t="n"/>
      <c r="I30" s="4" t="n"/>
      <c r="J30" s="5" t="n"/>
      <c r="K30" s="4" t="n"/>
      <c r="L30" s="4" t="n"/>
      <c r="M30" s="5" t="n"/>
      <c r="N30" s="5" t="n"/>
      <c r="O30" s="4" t="n"/>
      <c r="P30" s="4" t="n"/>
      <c r="Q30" s="4" t="n"/>
      <c r="R30" s="5" t="n"/>
      <c r="S30" s="5" t="n"/>
      <c r="T30" s="6">
        <f>IF(M30="","",IF(OR(M30="Kauf abgeschlossen",M30="Verloren",M30="Warten auf Raum"),"o",IF(O30="","",IF(O30&lt;TODAY(),"!",IF(O30&lt;=TODAY()+1,"~","ok")))))</f>
        <v/>
      </c>
    </row>
    <row r="31" ht="20" customHeight="1">
      <c r="A31" s="7" t="n"/>
      <c r="B31" s="8" t="n"/>
      <c r="C31" s="7" t="n"/>
      <c r="D31" s="8" t="n"/>
      <c r="E31" s="8" t="n"/>
      <c r="F31" s="8" t="n"/>
      <c r="G31" s="8" t="n"/>
      <c r="H31" s="8" t="n"/>
      <c r="I31" s="7" t="n"/>
      <c r="J31" s="8" t="n"/>
      <c r="K31" s="7" t="n"/>
      <c r="L31" s="7" t="n"/>
      <c r="M31" s="8" t="n"/>
      <c r="N31" s="8" t="n"/>
      <c r="O31" s="7" t="n"/>
      <c r="P31" s="7" t="n"/>
      <c r="Q31" s="7" t="n"/>
      <c r="R31" s="8" t="n"/>
      <c r="S31" s="8" t="n"/>
      <c r="T31" s="9">
        <f>IF(M31="","",IF(OR(M31="Kauf abgeschlossen",M31="Verloren",M31="Warten auf Raum"),"o",IF(O31="","",IF(O31&lt;TODAY(),"!",IF(O31&lt;=TODAY()+1,"~","ok")))))</f>
        <v/>
      </c>
    </row>
    <row r="32" ht="20" customHeight="1">
      <c r="A32" s="4" t="n"/>
      <c r="B32" s="5" t="n"/>
      <c r="C32" s="4" t="n"/>
      <c r="D32" s="5" t="n"/>
      <c r="E32" s="5" t="n"/>
      <c r="F32" s="5" t="n"/>
      <c r="G32" s="5" t="n"/>
      <c r="H32" s="5" t="n"/>
      <c r="I32" s="4" t="n"/>
      <c r="J32" s="5" t="n"/>
      <c r="K32" s="4" t="n"/>
      <c r="L32" s="4" t="n"/>
      <c r="M32" s="5" t="n"/>
      <c r="N32" s="5" t="n"/>
      <c r="O32" s="4" t="n"/>
      <c r="P32" s="4" t="n"/>
      <c r="Q32" s="4" t="n"/>
      <c r="R32" s="5" t="n"/>
      <c r="S32" s="5" t="n"/>
      <c r="T32" s="6">
        <f>IF(M32="","",IF(OR(M32="Kauf abgeschlossen",M32="Verloren",M32="Warten auf Raum"),"o",IF(O32="","",IF(O32&lt;TODAY(),"!",IF(O32&lt;=TODAY()+1,"~","ok")))))</f>
        <v/>
      </c>
    </row>
    <row r="33" ht="20" customHeight="1">
      <c r="A33" s="7" t="n"/>
      <c r="B33" s="8" t="n"/>
      <c r="C33" s="7" t="n"/>
      <c r="D33" s="8" t="n"/>
      <c r="E33" s="8" t="n"/>
      <c r="F33" s="8" t="n"/>
      <c r="G33" s="8" t="n"/>
      <c r="H33" s="8" t="n"/>
      <c r="I33" s="7" t="n"/>
      <c r="J33" s="8" t="n"/>
      <c r="K33" s="7" t="n"/>
      <c r="L33" s="7" t="n"/>
      <c r="M33" s="8" t="n"/>
      <c r="N33" s="8" t="n"/>
      <c r="O33" s="7" t="n"/>
      <c r="P33" s="7" t="n"/>
      <c r="Q33" s="7" t="n"/>
      <c r="R33" s="8" t="n"/>
      <c r="S33" s="8" t="n"/>
      <c r="T33" s="9">
        <f>IF(M33="","",IF(OR(M33="Kauf abgeschlossen",M33="Verloren",M33="Warten auf Raum"),"o",IF(O33="","",IF(O33&lt;TODAY(),"!",IF(O33&lt;=TODAY()+1,"~","ok")))))</f>
        <v/>
      </c>
    </row>
    <row r="34" ht="20" customHeight="1">
      <c r="A34" s="4" t="n"/>
      <c r="B34" s="5" t="n"/>
      <c r="C34" s="4" t="n"/>
      <c r="D34" s="5" t="n"/>
      <c r="E34" s="5" t="n"/>
      <c r="F34" s="5" t="n"/>
      <c r="G34" s="5" t="n"/>
      <c r="H34" s="5" t="n"/>
      <c r="I34" s="4" t="n"/>
      <c r="J34" s="5" t="n"/>
      <c r="K34" s="4" t="n"/>
      <c r="L34" s="4" t="n"/>
      <c r="M34" s="5" t="n"/>
      <c r="N34" s="5" t="n"/>
      <c r="O34" s="4" t="n"/>
      <c r="P34" s="4" t="n"/>
      <c r="Q34" s="4" t="n"/>
      <c r="R34" s="5" t="n"/>
      <c r="S34" s="5" t="n"/>
      <c r="T34" s="6">
        <f>IF(M34="","",IF(OR(M34="Kauf abgeschlossen",M34="Verloren",M34="Warten auf Raum"),"o",IF(O34="","",IF(O34&lt;TODAY(),"!",IF(O34&lt;=TODAY()+1,"~","ok")))))</f>
        <v/>
      </c>
    </row>
    <row r="35" ht="20" customHeight="1">
      <c r="A35" s="7" t="n"/>
      <c r="B35" s="8" t="n"/>
      <c r="C35" s="7" t="n"/>
      <c r="D35" s="8" t="n"/>
      <c r="E35" s="8" t="n"/>
      <c r="F35" s="8" t="n"/>
      <c r="G35" s="8" t="n"/>
      <c r="H35" s="8" t="n"/>
      <c r="I35" s="7" t="n"/>
      <c r="J35" s="8" t="n"/>
      <c r="K35" s="7" t="n"/>
      <c r="L35" s="7" t="n"/>
      <c r="M35" s="8" t="n"/>
      <c r="N35" s="8" t="n"/>
      <c r="O35" s="7" t="n"/>
      <c r="P35" s="7" t="n"/>
      <c r="Q35" s="7" t="n"/>
      <c r="R35" s="8" t="n"/>
      <c r="S35" s="8" t="n"/>
      <c r="T35" s="9">
        <f>IF(M35="","",IF(OR(M35="Kauf abgeschlossen",M35="Verloren",M35="Warten auf Raum"),"o",IF(O35="","",IF(O35&lt;TODAY(),"!",IF(O35&lt;=TODAY()+1,"~","ok")))))</f>
        <v/>
      </c>
    </row>
    <row r="36" ht="20" customHeight="1">
      <c r="A36" s="4" t="n"/>
      <c r="B36" s="5" t="n"/>
      <c r="C36" s="4" t="n"/>
      <c r="D36" s="5" t="n"/>
      <c r="E36" s="5" t="n"/>
      <c r="F36" s="5" t="n"/>
      <c r="G36" s="5" t="n"/>
      <c r="H36" s="5" t="n"/>
      <c r="I36" s="4" t="n"/>
      <c r="J36" s="5" t="n"/>
      <c r="K36" s="4" t="n"/>
      <c r="L36" s="4" t="n"/>
      <c r="M36" s="5" t="n"/>
      <c r="N36" s="5" t="n"/>
      <c r="O36" s="4" t="n"/>
      <c r="P36" s="4" t="n"/>
      <c r="Q36" s="4" t="n"/>
      <c r="R36" s="5" t="n"/>
      <c r="S36" s="5" t="n"/>
      <c r="T36" s="6">
        <f>IF(M36="","",IF(OR(M36="Kauf abgeschlossen",M36="Verloren",M36="Warten auf Raum"),"o",IF(O36="","",IF(O36&lt;TODAY(),"!",IF(O36&lt;=TODAY()+1,"~","ok")))))</f>
        <v/>
      </c>
    </row>
    <row r="37" ht="20" customHeight="1">
      <c r="A37" s="7" t="n"/>
      <c r="B37" s="8" t="n"/>
      <c r="C37" s="7" t="n"/>
      <c r="D37" s="8" t="n"/>
      <c r="E37" s="8" t="n"/>
      <c r="F37" s="8" t="n"/>
      <c r="G37" s="8" t="n"/>
      <c r="H37" s="8" t="n"/>
      <c r="I37" s="7" t="n"/>
      <c r="J37" s="8" t="n"/>
      <c r="K37" s="7" t="n"/>
      <c r="L37" s="7" t="n"/>
      <c r="M37" s="8" t="n"/>
      <c r="N37" s="8" t="n"/>
      <c r="O37" s="7" t="n"/>
      <c r="P37" s="7" t="n"/>
      <c r="Q37" s="7" t="n"/>
      <c r="R37" s="8" t="n"/>
      <c r="S37" s="8" t="n"/>
      <c r="T37" s="9">
        <f>IF(M37="","",IF(OR(M37="Kauf abgeschlossen",M37="Verloren",M37="Warten auf Raum"),"o",IF(O37="","",IF(O37&lt;TODAY(),"!",IF(O37&lt;=TODAY()+1,"~","ok")))))</f>
        <v/>
      </c>
    </row>
    <row r="38" ht="20" customHeight="1">
      <c r="A38" s="4" t="n"/>
      <c r="B38" s="5" t="n"/>
      <c r="C38" s="4" t="n"/>
      <c r="D38" s="5" t="n"/>
      <c r="E38" s="5" t="n"/>
      <c r="F38" s="5" t="n"/>
      <c r="G38" s="5" t="n"/>
      <c r="H38" s="5" t="n"/>
      <c r="I38" s="4" t="n"/>
      <c r="J38" s="5" t="n"/>
      <c r="K38" s="4" t="n"/>
      <c r="L38" s="4" t="n"/>
      <c r="M38" s="5" t="n"/>
      <c r="N38" s="5" t="n"/>
      <c r="O38" s="4" t="n"/>
      <c r="P38" s="4" t="n"/>
      <c r="Q38" s="4" t="n"/>
      <c r="R38" s="5" t="n"/>
      <c r="S38" s="5" t="n"/>
      <c r="T38" s="6">
        <f>IF(M38="","",IF(OR(M38="Kauf abgeschlossen",M38="Verloren",M38="Warten auf Raum"),"o",IF(O38="","",IF(O38&lt;TODAY(),"!",IF(O38&lt;=TODAY()+1,"~","ok")))))</f>
        <v/>
      </c>
    </row>
    <row r="39" ht="20" customHeight="1">
      <c r="A39" s="7" t="n"/>
      <c r="B39" s="8" t="n"/>
      <c r="C39" s="7" t="n"/>
      <c r="D39" s="8" t="n"/>
      <c r="E39" s="8" t="n"/>
      <c r="F39" s="8" t="n"/>
      <c r="G39" s="8" t="n"/>
      <c r="H39" s="8" t="n"/>
      <c r="I39" s="7" t="n"/>
      <c r="J39" s="8" t="n"/>
      <c r="K39" s="7" t="n"/>
      <c r="L39" s="7" t="n"/>
      <c r="M39" s="8" t="n"/>
      <c r="N39" s="8" t="n"/>
      <c r="O39" s="7" t="n"/>
      <c r="P39" s="7" t="n"/>
      <c r="Q39" s="7" t="n"/>
      <c r="R39" s="8" t="n"/>
      <c r="S39" s="8" t="n"/>
      <c r="T39" s="9">
        <f>IF(M39="","",IF(OR(M39="Kauf abgeschlossen",M39="Verloren",M39="Warten auf Raum"),"o",IF(O39="","",IF(O39&lt;TODAY(),"!",IF(O39&lt;=TODAY()+1,"~","ok")))))</f>
        <v/>
      </c>
    </row>
    <row r="40" ht="20" customHeight="1">
      <c r="A40" s="4" t="n"/>
      <c r="B40" s="5" t="n"/>
      <c r="C40" s="4" t="n"/>
      <c r="D40" s="5" t="n"/>
      <c r="E40" s="5" t="n"/>
      <c r="F40" s="5" t="n"/>
      <c r="G40" s="5" t="n"/>
      <c r="H40" s="5" t="n"/>
      <c r="I40" s="4" t="n"/>
      <c r="J40" s="5" t="n"/>
      <c r="K40" s="4" t="n"/>
      <c r="L40" s="4" t="n"/>
      <c r="M40" s="5" t="n"/>
      <c r="N40" s="5" t="n"/>
      <c r="O40" s="4" t="n"/>
      <c r="P40" s="4" t="n"/>
      <c r="Q40" s="4" t="n"/>
      <c r="R40" s="5" t="n"/>
      <c r="S40" s="5" t="n"/>
      <c r="T40" s="6">
        <f>IF(M40="","",IF(OR(M40="Kauf abgeschlossen",M40="Verloren",M40="Warten auf Raum"),"o",IF(O40="","",IF(O40&lt;TODAY(),"!",IF(O40&lt;=TODAY()+1,"~","ok")))))</f>
        <v/>
      </c>
    </row>
    <row r="41" ht="20" customHeight="1">
      <c r="A41" s="7" t="n"/>
      <c r="B41" s="8" t="n"/>
      <c r="C41" s="7" t="n"/>
      <c r="D41" s="8" t="n"/>
      <c r="E41" s="8" t="n"/>
      <c r="F41" s="8" t="n"/>
      <c r="G41" s="8" t="n"/>
      <c r="H41" s="8" t="n"/>
      <c r="I41" s="7" t="n"/>
      <c r="J41" s="8" t="n"/>
      <c r="K41" s="7" t="n"/>
      <c r="L41" s="7" t="n"/>
      <c r="M41" s="8" t="n"/>
      <c r="N41" s="8" t="n"/>
      <c r="O41" s="7" t="n"/>
      <c r="P41" s="7" t="n"/>
      <c r="Q41" s="7" t="n"/>
      <c r="R41" s="8" t="n"/>
      <c r="S41" s="8" t="n"/>
      <c r="T41" s="9">
        <f>IF(M41="","",IF(OR(M41="Kauf abgeschlossen",M41="Verloren",M41="Warten auf Raum"),"o",IF(O41="","",IF(O41&lt;TODAY(),"!",IF(O41&lt;=TODAY()+1,"~","ok")))))</f>
        <v/>
      </c>
    </row>
    <row r="42" ht="20" customHeight="1">
      <c r="A42" s="4" t="n"/>
      <c r="B42" s="5" t="n"/>
      <c r="C42" s="4" t="n"/>
      <c r="D42" s="5" t="n"/>
      <c r="E42" s="5" t="n"/>
      <c r="F42" s="5" t="n"/>
      <c r="G42" s="5" t="n"/>
      <c r="H42" s="5" t="n"/>
      <c r="I42" s="4" t="n"/>
      <c r="J42" s="5" t="n"/>
      <c r="K42" s="4" t="n"/>
      <c r="L42" s="4" t="n"/>
      <c r="M42" s="5" t="n"/>
      <c r="N42" s="5" t="n"/>
      <c r="O42" s="4" t="n"/>
      <c r="P42" s="4" t="n"/>
      <c r="Q42" s="4" t="n"/>
      <c r="R42" s="5" t="n"/>
      <c r="S42" s="5" t="n"/>
      <c r="T42" s="6">
        <f>IF(M42="","",IF(OR(M42="Kauf abgeschlossen",M42="Verloren",M42="Warten auf Raum"),"o",IF(O42="","",IF(O42&lt;TODAY(),"!",IF(O42&lt;=TODAY()+1,"~","ok")))))</f>
        <v/>
      </c>
    </row>
    <row r="43" ht="20" customHeight="1">
      <c r="A43" s="7" t="n"/>
      <c r="B43" s="8" t="n"/>
      <c r="C43" s="7" t="n"/>
      <c r="D43" s="8" t="n"/>
      <c r="E43" s="8" t="n"/>
      <c r="F43" s="8" t="n"/>
      <c r="G43" s="8" t="n"/>
      <c r="H43" s="8" t="n"/>
      <c r="I43" s="7" t="n"/>
      <c r="J43" s="8" t="n"/>
      <c r="K43" s="7" t="n"/>
      <c r="L43" s="7" t="n"/>
      <c r="M43" s="8" t="n"/>
      <c r="N43" s="8" t="n"/>
      <c r="O43" s="7" t="n"/>
      <c r="P43" s="7" t="n"/>
      <c r="Q43" s="7" t="n"/>
      <c r="R43" s="8" t="n"/>
      <c r="S43" s="8" t="n"/>
      <c r="T43" s="9">
        <f>IF(M43="","",IF(OR(M43="Kauf abgeschlossen",M43="Verloren",M43="Warten auf Raum"),"o",IF(O43="","",IF(O43&lt;TODAY(),"!",IF(O43&lt;=TODAY()+1,"~","ok")))))</f>
        <v/>
      </c>
    </row>
    <row r="44" ht="20" customHeight="1">
      <c r="A44" s="4" t="n"/>
      <c r="B44" s="5" t="n"/>
      <c r="C44" s="4" t="n"/>
      <c r="D44" s="5" t="n"/>
      <c r="E44" s="5" t="n"/>
      <c r="F44" s="5" t="n"/>
      <c r="G44" s="5" t="n"/>
      <c r="H44" s="5" t="n"/>
      <c r="I44" s="4" t="n"/>
      <c r="J44" s="5" t="n"/>
      <c r="K44" s="4" t="n"/>
      <c r="L44" s="4" t="n"/>
      <c r="M44" s="5" t="n"/>
      <c r="N44" s="5" t="n"/>
      <c r="O44" s="4" t="n"/>
      <c r="P44" s="4" t="n"/>
      <c r="Q44" s="4" t="n"/>
      <c r="R44" s="5" t="n"/>
      <c r="S44" s="5" t="n"/>
      <c r="T44" s="6">
        <f>IF(M44="","",IF(OR(M44="Kauf abgeschlossen",M44="Verloren",M44="Warten auf Raum"),"o",IF(O44="","",IF(O44&lt;TODAY(),"!",IF(O44&lt;=TODAY()+1,"~","ok")))))</f>
        <v/>
      </c>
    </row>
    <row r="45" ht="20" customHeight="1">
      <c r="A45" s="7" t="n"/>
      <c r="B45" s="8" t="n"/>
      <c r="C45" s="7" t="n"/>
      <c r="D45" s="8" t="n"/>
      <c r="E45" s="8" t="n"/>
      <c r="F45" s="8" t="n"/>
      <c r="G45" s="8" t="n"/>
      <c r="H45" s="8" t="n"/>
      <c r="I45" s="7" t="n"/>
      <c r="J45" s="8" t="n"/>
      <c r="K45" s="7" t="n"/>
      <c r="L45" s="7" t="n"/>
      <c r="M45" s="8" t="n"/>
      <c r="N45" s="8" t="n"/>
      <c r="O45" s="7" t="n"/>
      <c r="P45" s="7" t="n"/>
      <c r="Q45" s="7" t="n"/>
      <c r="R45" s="8" t="n"/>
      <c r="S45" s="8" t="n"/>
      <c r="T45" s="9">
        <f>IF(M45="","",IF(OR(M45="Kauf abgeschlossen",M45="Verloren",M45="Warten auf Raum"),"o",IF(O45="","",IF(O45&lt;TODAY(),"!",IF(O45&lt;=TODAY()+1,"~","ok")))))</f>
        <v/>
      </c>
    </row>
    <row r="46" ht="20" customHeight="1">
      <c r="A46" s="4" t="n"/>
      <c r="B46" s="5" t="n"/>
      <c r="C46" s="4" t="n"/>
      <c r="D46" s="5" t="n"/>
      <c r="E46" s="5" t="n"/>
      <c r="F46" s="5" t="n"/>
      <c r="G46" s="5" t="n"/>
      <c r="H46" s="5" t="n"/>
      <c r="I46" s="4" t="n"/>
      <c r="J46" s="5" t="n"/>
      <c r="K46" s="4" t="n"/>
      <c r="L46" s="4" t="n"/>
      <c r="M46" s="5" t="n"/>
      <c r="N46" s="5" t="n"/>
      <c r="O46" s="4" t="n"/>
      <c r="P46" s="4" t="n"/>
      <c r="Q46" s="4" t="n"/>
      <c r="R46" s="5" t="n"/>
      <c r="S46" s="5" t="n"/>
      <c r="T46" s="6">
        <f>IF(M46="","",IF(OR(M46="Kauf abgeschlossen",M46="Verloren",M46="Warten auf Raum"),"o",IF(O46="","",IF(O46&lt;TODAY(),"!",IF(O46&lt;=TODAY()+1,"~","ok")))))</f>
        <v/>
      </c>
    </row>
    <row r="47" ht="20" customHeight="1">
      <c r="A47" s="7" t="n"/>
      <c r="B47" s="8" t="n"/>
      <c r="C47" s="7" t="n"/>
      <c r="D47" s="8" t="n"/>
      <c r="E47" s="8" t="n"/>
      <c r="F47" s="8" t="n"/>
      <c r="G47" s="8" t="n"/>
      <c r="H47" s="8" t="n"/>
      <c r="I47" s="7" t="n"/>
      <c r="J47" s="8" t="n"/>
      <c r="K47" s="7" t="n"/>
      <c r="L47" s="7" t="n"/>
      <c r="M47" s="8" t="n"/>
      <c r="N47" s="8" t="n"/>
      <c r="O47" s="7" t="n"/>
      <c r="P47" s="7" t="n"/>
      <c r="Q47" s="7" t="n"/>
      <c r="R47" s="8" t="n"/>
      <c r="S47" s="8" t="n"/>
      <c r="T47" s="9">
        <f>IF(M47="","",IF(OR(M47="Kauf abgeschlossen",M47="Verloren",M47="Warten auf Raum"),"o",IF(O47="","",IF(O47&lt;TODAY(),"!",IF(O47&lt;=TODAY()+1,"~","ok")))))</f>
        <v/>
      </c>
    </row>
    <row r="48" ht="20" customHeight="1">
      <c r="A48" s="4" t="n"/>
      <c r="B48" s="5" t="n"/>
      <c r="C48" s="4" t="n"/>
      <c r="D48" s="5" t="n"/>
      <c r="E48" s="5" t="n"/>
      <c r="F48" s="5" t="n"/>
      <c r="G48" s="5" t="n"/>
      <c r="H48" s="5" t="n"/>
      <c r="I48" s="4" t="n"/>
      <c r="J48" s="5" t="n"/>
      <c r="K48" s="4" t="n"/>
      <c r="L48" s="4" t="n"/>
      <c r="M48" s="5" t="n"/>
      <c r="N48" s="5" t="n"/>
      <c r="O48" s="4" t="n"/>
      <c r="P48" s="4" t="n"/>
      <c r="Q48" s="4" t="n"/>
      <c r="R48" s="5" t="n"/>
      <c r="S48" s="5" t="n"/>
      <c r="T48" s="6">
        <f>IF(M48="","",IF(OR(M48="Kauf abgeschlossen",M48="Verloren",M48="Warten auf Raum"),"o",IF(O48="","",IF(O48&lt;TODAY(),"!",IF(O48&lt;=TODAY()+1,"~","ok")))))</f>
        <v/>
      </c>
    </row>
    <row r="49" ht="20" customHeight="1">
      <c r="A49" s="7" t="n"/>
      <c r="B49" s="8" t="n"/>
      <c r="C49" s="7" t="n"/>
      <c r="D49" s="8" t="n"/>
      <c r="E49" s="8" t="n"/>
      <c r="F49" s="8" t="n"/>
      <c r="G49" s="8" t="n"/>
      <c r="H49" s="8" t="n"/>
      <c r="I49" s="7" t="n"/>
      <c r="J49" s="8" t="n"/>
      <c r="K49" s="7" t="n"/>
      <c r="L49" s="7" t="n"/>
      <c r="M49" s="8" t="n"/>
      <c r="N49" s="8" t="n"/>
      <c r="O49" s="7" t="n"/>
      <c r="P49" s="7" t="n"/>
      <c r="Q49" s="7" t="n"/>
      <c r="R49" s="8" t="n"/>
      <c r="S49" s="8" t="n"/>
      <c r="T49" s="9">
        <f>IF(M49="","",IF(OR(M49="Kauf abgeschlossen",M49="Verloren",M49="Warten auf Raum"),"o",IF(O49="","",IF(O49&lt;TODAY(),"!",IF(O49&lt;=TODAY()+1,"~","ok")))))</f>
        <v/>
      </c>
    </row>
    <row r="50" ht="20" customHeight="1">
      <c r="A50" s="4" t="n"/>
      <c r="B50" s="5" t="n"/>
      <c r="C50" s="4" t="n"/>
      <c r="D50" s="5" t="n"/>
      <c r="E50" s="5" t="n"/>
      <c r="F50" s="5" t="n"/>
      <c r="G50" s="5" t="n"/>
      <c r="H50" s="5" t="n"/>
      <c r="I50" s="4" t="n"/>
      <c r="J50" s="5" t="n"/>
      <c r="K50" s="4" t="n"/>
      <c r="L50" s="4" t="n"/>
      <c r="M50" s="5" t="n"/>
      <c r="N50" s="5" t="n"/>
      <c r="O50" s="4" t="n"/>
      <c r="P50" s="4" t="n"/>
      <c r="Q50" s="4" t="n"/>
      <c r="R50" s="5" t="n"/>
      <c r="S50" s="5" t="n"/>
      <c r="T50" s="6">
        <f>IF(M50="","",IF(OR(M50="Kauf abgeschlossen",M50="Verloren",M50="Warten auf Raum"),"o",IF(O50="","",IF(O50&lt;TODAY(),"!",IF(O50&lt;=TODAY()+1,"~","ok")))))</f>
        <v/>
      </c>
    </row>
    <row r="51" ht="20" customHeight="1">
      <c r="A51" s="7" t="n"/>
      <c r="B51" s="8" t="n"/>
      <c r="C51" s="7" t="n"/>
      <c r="D51" s="8" t="n"/>
      <c r="E51" s="8" t="n"/>
      <c r="F51" s="8" t="n"/>
      <c r="G51" s="8" t="n"/>
      <c r="H51" s="8" t="n"/>
      <c r="I51" s="7" t="n"/>
      <c r="J51" s="8" t="n"/>
      <c r="K51" s="7" t="n"/>
      <c r="L51" s="7" t="n"/>
      <c r="M51" s="8" t="n"/>
      <c r="N51" s="8" t="n"/>
      <c r="O51" s="7" t="n"/>
      <c r="P51" s="7" t="n"/>
      <c r="Q51" s="7" t="n"/>
      <c r="R51" s="8" t="n"/>
      <c r="S51" s="8" t="n"/>
      <c r="T51" s="9">
        <f>IF(M51="","",IF(OR(M51="Kauf abgeschlossen",M51="Verloren",M51="Warten auf Raum"),"o",IF(O51="","",IF(O51&lt;TODAY(),"!",IF(O51&lt;=TODAY()+1,"~","ok")))))</f>
        <v/>
      </c>
    </row>
    <row r="52" ht="20" customHeight="1">
      <c r="A52" s="4" t="n"/>
      <c r="B52" s="5" t="n"/>
      <c r="C52" s="4" t="n"/>
      <c r="D52" s="5" t="n"/>
      <c r="E52" s="5" t="n"/>
      <c r="F52" s="5" t="n"/>
      <c r="G52" s="5" t="n"/>
      <c r="H52" s="5" t="n"/>
      <c r="I52" s="4" t="n"/>
      <c r="J52" s="5" t="n"/>
      <c r="K52" s="4" t="n"/>
      <c r="L52" s="4" t="n"/>
      <c r="M52" s="5" t="n"/>
      <c r="N52" s="5" t="n"/>
      <c r="O52" s="4" t="n"/>
      <c r="P52" s="4" t="n"/>
      <c r="Q52" s="4" t="n"/>
      <c r="R52" s="5" t="n"/>
      <c r="S52" s="5" t="n"/>
      <c r="T52" s="6">
        <f>IF(M52="","",IF(OR(M52="Kauf abgeschlossen",M52="Verloren",M52="Warten auf Raum"),"o",IF(O52="","",IF(O52&lt;TODAY(),"!",IF(O52&lt;=TODAY()+1,"~","ok")))))</f>
        <v/>
      </c>
    </row>
    <row r="53" ht="20" customHeight="1">
      <c r="A53" s="7" t="n"/>
      <c r="B53" s="8" t="n"/>
      <c r="C53" s="7" t="n"/>
      <c r="D53" s="8" t="n"/>
      <c r="E53" s="8" t="n"/>
      <c r="F53" s="8" t="n"/>
      <c r="G53" s="8" t="n"/>
      <c r="H53" s="8" t="n"/>
      <c r="I53" s="7" t="n"/>
      <c r="J53" s="8" t="n"/>
      <c r="K53" s="7" t="n"/>
      <c r="L53" s="7" t="n"/>
      <c r="M53" s="8" t="n"/>
      <c r="N53" s="8" t="n"/>
      <c r="O53" s="7" t="n"/>
      <c r="P53" s="7" t="n"/>
      <c r="Q53" s="7" t="n"/>
      <c r="R53" s="8" t="n"/>
      <c r="S53" s="8" t="n"/>
      <c r="T53" s="9">
        <f>IF(M53="","",IF(OR(M53="Kauf abgeschlossen",M53="Verloren",M53="Warten auf Raum"),"o",IF(O53="","",IF(O53&lt;TODAY(),"!",IF(O53&lt;=TODAY()+1,"~","ok")))))</f>
        <v/>
      </c>
    </row>
    <row r="54" ht="20" customHeight="1">
      <c r="A54" s="4" t="n"/>
      <c r="B54" s="5" t="n"/>
      <c r="C54" s="4" t="n"/>
      <c r="D54" s="5" t="n"/>
      <c r="E54" s="5" t="n"/>
      <c r="F54" s="5" t="n"/>
      <c r="G54" s="5" t="n"/>
      <c r="H54" s="5" t="n"/>
      <c r="I54" s="4" t="n"/>
      <c r="J54" s="5" t="n"/>
      <c r="K54" s="4" t="n"/>
      <c r="L54" s="4" t="n"/>
      <c r="M54" s="5" t="n"/>
      <c r="N54" s="5" t="n"/>
      <c r="O54" s="4" t="n"/>
      <c r="P54" s="4" t="n"/>
      <c r="Q54" s="4" t="n"/>
      <c r="R54" s="5" t="n"/>
      <c r="S54" s="5" t="n"/>
      <c r="T54" s="6">
        <f>IF(M54="","",IF(OR(M54="Kauf abgeschlossen",M54="Verloren",M54="Warten auf Raum"),"o",IF(O54="","",IF(O54&lt;TODAY(),"!",IF(O54&lt;=TODAY()+1,"~","ok")))))</f>
        <v/>
      </c>
    </row>
    <row r="55" ht="20" customHeight="1">
      <c r="A55" s="7" t="n"/>
      <c r="B55" s="8" t="n"/>
      <c r="C55" s="7" t="n"/>
      <c r="D55" s="8" t="n"/>
      <c r="E55" s="8" t="n"/>
      <c r="F55" s="8" t="n"/>
      <c r="G55" s="8" t="n"/>
      <c r="H55" s="8" t="n"/>
      <c r="I55" s="7" t="n"/>
      <c r="J55" s="8" t="n"/>
      <c r="K55" s="7" t="n"/>
      <c r="L55" s="7" t="n"/>
      <c r="M55" s="8" t="n"/>
      <c r="N55" s="8" t="n"/>
      <c r="O55" s="7" t="n"/>
      <c r="P55" s="7" t="n"/>
      <c r="Q55" s="7" t="n"/>
      <c r="R55" s="8" t="n"/>
      <c r="S55" s="8" t="n"/>
      <c r="T55" s="9">
        <f>IF(M55="","",IF(OR(M55="Kauf abgeschlossen",M55="Verloren",M55="Warten auf Raum"),"o",IF(O55="","",IF(O55&lt;TODAY(),"!",IF(O55&lt;=TODAY()+1,"~","ok")))))</f>
        <v/>
      </c>
    </row>
    <row r="56" ht="20" customHeight="1">
      <c r="A56" s="4" t="n"/>
      <c r="B56" s="5" t="n"/>
      <c r="C56" s="4" t="n"/>
      <c r="D56" s="5" t="n"/>
      <c r="E56" s="5" t="n"/>
      <c r="F56" s="5" t="n"/>
      <c r="G56" s="5" t="n"/>
      <c r="H56" s="5" t="n"/>
      <c r="I56" s="4" t="n"/>
      <c r="J56" s="5" t="n"/>
      <c r="K56" s="4" t="n"/>
      <c r="L56" s="4" t="n"/>
      <c r="M56" s="5" t="n"/>
      <c r="N56" s="5" t="n"/>
      <c r="O56" s="4" t="n"/>
      <c r="P56" s="4" t="n"/>
      <c r="Q56" s="4" t="n"/>
      <c r="R56" s="5" t="n"/>
      <c r="S56" s="5" t="n"/>
      <c r="T56" s="6">
        <f>IF(M56="","",IF(OR(M56="Kauf abgeschlossen",M56="Verloren",M56="Warten auf Raum"),"o",IF(O56="","",IF(O56&lt;TODAY(),"!",IF(O56&lt;=TODAY()+1,"~","ok")))))</f>
        <v/>
      </c>
    </row>
    <row r="57" ht="20" customHeight="1">
      <c r="A57" s="7" t="n"/>
      <c r="B57" s="8" t="n"/>
      <c r="C57" s="7" t="n"/>
      <c r="D57" s="8" t="n"/>
      <c r="E57" s="8" t="n"/>
      <c r="F57" s="8" t="n"/>
      <c r="G57" s="8" t="n"/>
      <c r="H57" s="8" t="n"/>
      <c r="I57" s="7" t="n"/>
      <c r="J57" s="8" t="n"/>
      <c r="K57" s="7" t="n"/>
      <c r="L57" s="7" t="n"/>
      <c r="M57" s="8" t="n"/>
      <c r="N57" s="8" t="n"/>
      <c r="O57" s="7" t="n"/>
      <c r="P57" s="7" t="n"/>
      <c r="Q57" s="7" t="n"/>
      <c r="R57" s="8" t="n"/>
      <c r="S57" s="8" t="n"/>
      <c r="T57" s="9">
        <f>IF(M57="","",IF(OR(M57="Kauf abgeschlossen",M57="Verloren",M57="Warten auf Raum"),"o",IF(O57="","",IF(O57&lt;TODAY(),"!",IF(O57&lt;=TODAY()+1,"~","ok")))))</f>
        <v/>
      </c>
    </row>
    <row r="58" ht="20" customHeight="1">
      <c r="A58" s="4" t="n"/>
      <c r="B58" s="5" t="n"/>
      <c r="C58" s="4" t="n"/>
      <c r="D58" s="5" t="n"/>
      <c r="E58" s="5" t="n"/>
      <c r="F58" s="5" t="n"/>
      <c r="G58" s="5" t="n"/>
      <c r="H58" s="5" t="n"/>
      <c r="I58" s="4" t="n"/>
      <c r="J58" s="5" t="n"/>
      <c r="K58" s="4" t="n"/>
      <c r="L58" s="4" t="n"/>
      <c r="M58" s="5" t="n"/>
      <c r="N58" s="5" t="n"/>
      <c r="O58" s="4" t="n"/>
      <c r="P58" s="4" t="n"/>
      <c r="Q58" s="4" t="n"/>
      <c r="R58" s="5" t="n"/>
      <c r="S58" s="5" t="n"/>
      <c r="T58" s="6">
        <f>IF(M58="","",IF(OR(M58="Kauf abgeschlossen",M58="Verloren",M58="Warten auf Raum"),"o",IF(O58="","",IF(O58&lt;TODAY(),"!",IF(O58&lt;=TODAY()+1,"~","ok")))))</f>
        <v/>
      </c>
    </row>
    <row r="59" ht="20" customHeight="1">
      <c r="A59" s="7" t="n"/>
      <c r="B59" s="8" t="n"/>
      <c r="C59" s="7" t="n"/>
      <c r="D59" s="8" t="n"/>
      <c r="E59" s="8" t="n"/>
      <c r="F59" s="8" t="n"/>
      <c r="G59" s="8" t="n"/>
      <c r="H59" s="8" t="n"/>
      <c r="I59" s="7" t="n"/>
      <c r="J59" s="8" t="n"/>
      <c r="K59" s="7" t="n"/>
      <c r="L59" s="7" t="n"/>
      <c r="M59" s="8" t="n"/>
      <c r="N59" s="8" t="n"/>
      <c r="O59" s="7" t="n"/>
      <c r="P59" s="7" t="n"/>
      <c r="Q59" s="7" t="n"/>
      <c r="R59" s="8" t="n"/>
      <c r="S59" s="8" t="n"/>
      <c r="T59" s="9">
        <f>IF(M59="","",IF(OR(M59="Kauf abgeschlossen",M59="Verloren",M59="Warten auf Raum"),"o",IF(O59="","",IF(O59&lt;TODAY(),"!",IF(O59&lt;=TODAY()+1,"~","ok")))))</f>
        <v/>
      </c>
    </row>
    <row r="60" ht="20" customHeight="1">
      <c r="A60" s="4" t="n"/>
      <c r="B60" s="5" t="n"/>
      <c r="C60" s="4" t="n"/>
      <c r="D60" s="5" t="n"/>
      <c r="E60" s="5" t="n"/>
      <c r="F60" s="5" t="n"/>
      <c r="G60" s="5" t="n"/>
      <c r="H60" s="5" t="n"/>
      <c r="I60" s="4" t="n"/>
      <c r="J60" s="5" t="n"/>
      <c r="K60" s="4" t="n"/>
      <c r="L60" s="4" t="n"/>
      <c r="M60" s="5" t="n"/>
      <c r="N60" s="5" t="n"/>
      <c r="O60" s="4" t="n"/>
      <c r="P60" s="4" t="n"/>
      <c r="Q60" s="4" t="n"/>
      <c r="R60" s="5" t="n"/>
      <c r="S60" s="5" t="n"/>
      <c r="T60" s="6">
        <f>IF(M60="","",IF(OR(M60="Kauf abgeschlossen",M60="Verloren",M60="Warten auf Raum"),"o",IF(O60="","",IF(O60&lt;TODAY(),"!",IF(O60&lt;=TODAY()+1,"~","ok")))))</f>
        <v/>
      </c>
    </row>
    <row r="61" ht="20" customHeight="1">
      <c r="A61" s="7" t="n"/>
      <c r="B61" s="8" t="n"/>
      <c r="C61" s="7" t="n"/>
      <c r="D61" s="8" t="n"/>
      <c r="E61" s="8" t="n"/>
      <c r="F61" s="8" t="n"/>
      <c r="G61" s="8" t="n"/>
      <c r="H61" s="8" t="n"/>
      <c r="I61" s="7" t="n"/>
      <c r="J61" s="8" t="n"/>
      <c r="K61" s="7" t="n"/>
      <c r="L61" s="7" t="n"/>
      <c r="M61" s="8" t="n"/>
      <c r="N61" s="8" t="n"/>
      <c r="O61" s="7" t="n"/>
      <c r="P61" s="7" t="n"/>
      <c r="Q61" s="7" t="n"/>
      <c r="R61" s="8" t="n"/>
      <c r="S61" s="8" t="n"/>
      <c r="T61" s="9">
        <f>IF(M61="","",IF(OR(M61="Kauf abgeschlossen",M61="Verloren",M61="Warten auf Raum"),"o",IF(O61="","",IF(O61&lt;TODAY(),"!",IF(O61&lt;=TODAY()+1,"~","ok")))))</f>
        <v/>
      </c>
    </row>
    <row r="62" ht="20" customHeight="1">
      <c r="A62" s="4" t="n"/>
      <c r="B62" s="5" t="n"/>
      <c r="C62" s="4" t="n"/>
      <c r="D62" s="5" t="n"/>
      <c r="E62" s="5" t="n"/>
      <c r="F62" s="5" t="n"/>
      <c r="G62" s="5" t="n"/>
      <c r="H62" s="5" t="n"/>
      <c r="I62" s="4" t="n"/>
      <c r="J62" s="5" t="n"/>
      <c r="K62" s="4" t="n"/>
      <c r="L62" s="4" t="n"/>
      <c r="M62" s="5" t="n"/>
      <c r="N62" s="5" t="n"/>
      <c r="O62" s="4" t="n"/>
      <c r="P62" s="4" t="n"/>
      <c r="Q62" s="4" t="n"/>
      <c r="R62" s="5" t="n"/>
      <c r="S62" s="5" t="n"/>
      <c r="T62" s="6">
        <f>IF(M62="","",IF(OR(M62="Kauf abgeschlossen",M62="Verloren",M62="Warten auf Raum"),"o",IF(O62="","",IF(O62&lt;TODAY(),"!",IF(O62&lt;=TODAY()+1,"~","ok")))))</f>
        <v/>
      </c>
    </row>
    <row r="63" ht="20" customHeight="1">
      <c r="A63" s="7" t="n"/>
      <c r="B63" s="8" t="n"/>
      <c r="C63" s="7" t="n"/>
      <c r="D63" s="8" t="n"/>
      <c r="E63" s="8" t="n"/>
      <c r="F63" s="8" t="n"/>
      <c r="G63" s="8" t="n"/>
      <c r="H63" s="8" t="n"/>
      <c r="I63" s="7" t="n"/>
      <c r="J63" s="8" t="n"/>
      <c r="K63" s="7" t="n"/>
      <c r="L63" s="7" t="n"/>
      <c r="M63" s="8" t="n"/>
      <c r="N63" s="8" t="n"/>
      <c r="O63" s="7" t="n"/>
      <c r="P63" s="7" t="n"/>
      <c r="Q63" s="7" t="n"/>
      <c r="R63" s="8" t="n"/>
      <c r="S63" s="8" t="n"/>
      <c r="T63" s="9">
        <f>IF(M63="","",IF(OR(M63="Kauf abgeschlossen",M63="Verloren",M63="Warten auf Raum"),"o",IF(O63="","",IF(O63&lt;TODAY(),"!",IF(O63&lt;=TODAY()+1,"~","ok")))))</f>
        <v/>
      </c>
    </row>
    <row r="64" ht="20" customHeight="1">
      <c r="A64" s="4" t="n"/>
      <c r="B64" s="5" t="n"/>
      <c r="C64" s="4" t="n"/>
      <c r="D64" s="5" t="n"/>
      <c r="E64" s="5" t="n"/>
      <c r="F64" s="5" t="n"/>
      <c r="G64" s="5" t="n"/>
      <c r="H64" s="5" t="n"/>
      <c r="I64" s="4" t="n"/>
      <c r="J64" s="5" t="n"/>
      <c r="K64" s="4" t="n"/>
      <c r="L64" s="4" t="n"/>
      <c r="M64" s="5" t="n"/>
      <c r="N64" s="5" t="n"/>
      <c r="O64" s="4" t="n"/>
      <c r="P64" s="4" t="n"/>
      <c r="Q64" s="4" t="n"/>
      <c r="R64" s="5" t="n"/>
      <c r="S64" s="5" t="n"/>
      <c r="T64" s="6">
        <f>IF(M64="","",IF(OR(M64="Kauf abgeschlossen",M64="Verloren",M64="Warten auf Raum"),"o",IF(O64="","",IF(O64&lt;TODAY(),"!",IF(O64&lt;=TODAY()+1,"~","ok")))))</f>
        <v/>
      </c>
    </row>
    <row r="65" ht="20" customHeight="1">
      <c r="A65" s="7" t="n"/>
      <c r="B65" s="8" t="n"/>
      <c r="C65" s="7" t="n"/>
      <c r="D65" s="8" t="n"/>
      <c r="E65" s="8" t="n"/>
      <c r="F65" s="8" t="n"/>
      <c r="G65" s="8" t="n"/>
      <c r="H65" s="8" t="n"/>
      <c r="I65" s="7" t="n"/>
      <c r="J65" s="8" t="n"/>
      <c r="K65" s="7" t="n"/>
      <c r="L65" s="7" t="n"/>
      <c r="M65" s="8" t="n"/>
      <c r="N65" s="8" t="n"/>
      <c r="O65" s="7" t="n"/>
      <c r="P65" s="7" t="n"/>
      <c r="Q65" s="7" t="n"/>
      <c r="R65" s="8" t="n"/>
      <c r="S65" s="8" t="n"/>
      <c r="T65" s="9">
        <f>IF(M65="","",IF(OR(M65="Kauf abgeschlossen",M65="Verloren",M65="Warten auf Raum"),"o",IF(O65="","",IF(O65&lt;TODAY(),"!",IF(O65&lt;=TODAY()+1,"~","ok")))))</f>
        <v/>
      </c>
    </row>
    <row r="66" ht="20" customHeight="1">
      <c r="A66" s="4" t="n"/>
      <c r="B66" s="5" t="n"/>
      <c r="C66" s="4" t="n"/>
      <c r="D66" s="5" t="n"/>
      <c r="E66" s="5" t="n"/>
      <c r="F66" s="5" t="n"/>
      <c r="G66" s="5" t="n"/>
      <c r="H66" s="5" t="n"/>
      <c r="I66" s="4" t="n"/>
      <c r="J66" s="5" t="n"/>
      <c r="K66" s="4" t="n"/>
      <c r="L66" s="4" t="n"/>
      <c r="M66" s="5" t="n"/>
      <c r="N66" s="5" t="n"/>
      <c r="O66" s="4" t="n"/>
      <c r="P66" s="4" t="n"/>
      <c r="Q66" s="4" t="n"/>
      <c r="R66" s="5" t="n"/>
      <c r="S66" s="5" t="n"/>
      <c r="T66" s="6">
        <f>IF(M66="","",IF(OR(M66="Kauf abgeschlossen",M66="Verloren",M66="Warten auf Raum"),"o",IF(O66="","",IF(O66&lt;TODAY(),"!",IF(O66&lt;=TODAY()+1,"~","ok")))))</f>
        <v/>
      </c>
    </row>
    <row r="67" ht="20" customHeight="1">
      <c r="A67" s="7" t="n"/>
      <c r="B67" s="8" t="n"/>
      <c r="C67" s="7" t="n"/>
      <c r="D67" s="8" t="n"/>
      <c r="E67" s="8" t="n"/>
      <c r="F67" s="8" t="n"/>
      <c r="G67" s="8" t="n"/>
      <c r="H67" s="8" t="n"/>
      <c r="I67" s="7" t="n"/>
      <c r="J67" s="8" t="n"/>
      <c r="K67" s="7" t="n"/>
      <c r="L67" s="7" t="n"/>
      <c r="M67" s="8" t="n"/>
      <c r="N67" s="8" t="n"/>
      <c r="O67" s="7" t="n"/>
      <c r="P67" s="7" t="n"/>
      <c r="Q67" s="7" t="n"/>
      <c r="R67" s="8" t="n"/>
      <c r="S67" s="8" t="n"/>
      <c r="T67" s="9">
        <f>IF(M67="","",IF(OR(M67="Kauf abgeschlossen",M67="Verloren",M67="Warten auf Raum"),"o",IF(O67="","",IF(O67&lt;TODAY(),"!",IF(O67&lt;=TODAY()+1,"~","ok")))))</f>
        <v/>
      </c>
    </row>
    <row r="68" ht="20" customHeight="1">
      <c r="A68" s="4" t="n"/>
      <c r="B68" s="5" t="n"/>
      <c r="C68" s="4" t="n"/>
      <c r="D68" s="5" t="n"/>
      <c r="E68" s="5" t="n"/>
      <c r="F68" s="5" t="n"/>
      <c r="G68" s="5" t="n"/>
      <c r="H68" s="5" t="n"/>
      <c r="I68" s="4" t="n"/>
      <c r="J68" s="5" t="n"/>
      <c r="K68" s="4" t="n"/>
      <c r="L68" s="4" t="n"/>
      <c r="M68" s="5" t="n"/>
      <c r="N68" s="5" t="n"/>
      <c r="O68" s="4" t="n"/>
      <c r="P68" s="4" t="n"/>
      <c r="Q68" s="4" t="n"/>
      <c r="R68" s="5" t="n"/>
      <c r="S68" s="5" t="n"/>
      <c r="T68" s="6">
        <f>IF(M68="","",IF(OR(M68="Kauf abgeschlossen",M68="Verloren",M68="Warten auf Raum"),"o",IF(O68="","",IF(O68&lt;TODAY(),"!",IF(O68&lt;=TODAY()+1,"~","ok")))))</f>
        <v/>
      </c>
    </row>
    <row r="69" ht="20" customHeight="1">
      <c r="A69" s="7" t="n"/>
      <c r="B69" s="8" t="n"/>
      <c r="C69" s="7" t="n"/>
      <c r="D69" s="8" t="n"/>
      <c r="E69" s="8" t="n"/>
      <c r="F69" s="8" t="n"/>
      <c r="G69" s="8" t="n"/>
      <c r="H69" s="8" t="n"/>
      <c r="I69" s="7" t="n"/>
      <c r="J69" s="8" t="n"/>
      <c r="K69" s="7" t="n"/>
      <c r="L69" s="7" t="n"/>
      <c r="M69" s="8" t="n"/>
      <c r="N69" s="8" t="n"/>
      <c r="O69" s="7" t="n"/>
      <c r="P69" s="7" t="n"/>
      <c r="Q69" s="7" t="n"/>
      <c r="R69" s="8" t="n"/>
      <c r="S69" s="8" t="n"/>
      <c r="T69" s="9">
        <f>IF(M69="","",IF(OR(M69="Kauf abgeschlossen",M69="Verloren",M69="Warten auf Raum"),"o",IF(O69="","",IF(O69&lt;TODAY(),"!",IF(O69&lt;=TODAY()+1,"~","ok")))))</f>
        <v/>
      </c>
    </row>
    <row r="70" ht="20" customHeight="1">
      <c r="A70" s="4" t="n"/>
      <c r="B70" s="5" t="n"/>
      <c r="C70" s="4" t="n"/>
      <c r="D70" s="5" t="n"/>
      <c r="E70" s="5" t="n"/>
      <c r="F70" s="5" t="n"/>
      <c r="G70" s="5" t="n"/>
      <c r="H70" s="5" t="n"/>
      <c r="I70" s="4" t="n"/>
      <c r="J70" s="5" t="n"/>
      <c r="K70" s="4" t="n"/>
      <c r="L70" s="4" t="n"/>
      <c r="M70" s="5" t="n"/>
      <c r="N70" s="5" t="n"/>
      <c r="O70" s="4" t="n"/>
      <c r="P70" s="4" t="n"/>
      <c r="Q70" s="4" t="n"/>
      <c r="R70" s="5" t="n"/>
      <c r="S70" s="5" t="n"/>
      <c r="T70" s="6">
        <f>IF(M70="","",IF(OR(M70="Kauf abgeschlossen",M70="Verloren",M70="Warten auf Raum"),"o",IF(O70="","",IF(O70&lt;TODAY(),"!",IF(O70&lt;=TODAY()+1,"~","ok")))))</f>
        <v/>
      </c>
    </row>
    <row r="71" ht="20" customHeight="1">
      <c r="A71" s="7" t="n"/>
      <c r="B71" s="8" t="n"/>
      <c r="C71" s="7" t="n"/>
      <c r="D71" s="8" t="n"/>
      <c r="E71" s="8" t="n"/>
      <c r="F71" s="8" t="n"/>
      <c r="G71" s="8" t="n"/>
      <c r="H71" s="8" t="n"/>
      <c r="I71" s="7" t="n"/>
      <c r="J71" s="8" t="n"/>
      <c r="K71" s="7" t="n"/>
      <c r="L71" s="7" t="n"/>
      <c r="M71" s="8" t="n"/>
      <c r="N71" s="8" t="n"/>
      <c r="O71" s="7" t="n"/>
      <c r="P71" s="7" t="n"/>
      <c r="Q71" s="7" t="n"/>
      <c r="R71" s="8" t="n"/>
      <c r="S71" s="8" t="n"/>
      <c r="T71" s="9">
        <f>IF(M71="","",IF(OR(M71="Kauf abgeschlossen",M71="Verloren",M71="Warten auf Raum"),"o",IF(O71="","",IF(O71&lt;TODAY(),"!",IF(O71&lt;=TODAY()+1,"~","ok")))))</f>
        <v/>
      </c>
    </row>
    <row r="72" ht="20" customHeight="1">
      <c r="A72" s="4" t="n"/>
      <c r="B72" s="5" t="n"/>
      <c r="C72" s="4" t="n"/>
      <c r="D72" s="5" t="n"/>
      <c r="E72" s="5" t="n"/>
      <c r="F72" s="5" t="n"/>
      <c r="G72" s="5" t="n"/>
      <c r="H72" s="5" t="n"/>
      <c r="I72" s="4" t="n"/>
      <c r="J72" s="5" t="n"/>
      <c r="K72" s="4" t="n"/>
      <c r="L72" s="4" t="n"/>
      <c r="M72" s="5" t="n"/>
      <c r="N72" s="5" t="n"/>
      <c r="O72" s="4" t="n"/>
      <c r="P72" s="4" t="n"/>
      <c r="Q72" s="4" t="n"/>
      <c r="R72" s="5" t="n"/>
      <c r="S72" s="5" t="n"/>
      <c r="T72" s="6">
        <f>IF(M72="","",IF(OR(M72="Kauf abgeschlossen",M72="Verloren",M72="Warten auf Raum"),"o",IF(O72="","",IF(O72&lt;TODAY(),"!",IF(O72&lt;=TODAY()+1,"~","ok")))))</f>
        <v/>
      </c>
    </row>
    <row r="73" ht="20" customHeight="1">
      <c r="A73" s="7" t="n"/>
      <c r="B73" s="8" t="n"/>
      <c r="C73" s="7" t="n"/>
      <c r="D73" s="8" t="n"/>
      <c r="E73" s="8" t="n"/>
      <c r="F73" s="8" t="n"/>
      <c r="G73" s="8" t="n"/>
      <c r="H73" s="8" t="n"/>
      <c r="I73" s="7" t="n"/>
      <c r="J73" s="8" t="n"/>
      <c r="K73" s="7" t="n"/>
      <c r="L73" s="7" t="n"/>
      <c r="M73" s="8" t="n"/>
      <c r="N73" s="8" t="n"/>
      <c r="O73" s="7" t="n"/>
      <c r="P73" s="7" t="n"/>
      <c r="Q73" s="7" t="n"/>
      <c r="R73" s="8" t="n"/>
      <c r="S73" s="8" t="n"/>
      <c r="T73" s="9">
        <f>IF(M73="","",IF(OR(M73="Kauf abgeschlossen",M73="Verloren",M73="Warten auf Raum"),"o",IF(O73="","",IF(O73&lt;TODAY(),"!",IF(O73&lt;=TODAY()+1,"~","ok")))))</f>
        <v/>
      </c>
    </row>
    <row r="74" ht="20" customHeight="1">
      <c r="A74" s="4" t="n"/>
      <c r="B74" s="5" t="n"/>
      <c r="C74" s="4" t="n"/>
      <c r="D74" s="5" t="n"/>
      <c r="E74" s="5" t="n"/>
      <c r="F74" s="5" t="n"/>
      <c r="G74" s="5" t="n"/>
      <c r="H74" s="5" t="n"/>
      <c r="I74" s="4" t="n"/>
      <c r="J74" s="5" t="n"/>
      <c r="K74" s="4" t="n"/>
      <c r="L74" s="4" t="n"/>
      <c r="M74" s="5" t="n"/>
      <c r="N74" s="5" t="n"/>
      <c r="O74" s="4" t="n"/>
      <c r="P74" s="4" t="n"/>
      <c r="Q74" s="4" t="n"/>
      <c r="R74" s="5" t="n"/>
      <c r="S74" s="5" t="n"/>
      <c r="T74" s="6">
        <f>IF(M74="","",IF(OR(M74="Kauf abgeschlossen",M74="Verloren",M74="Warten auf Raum"),"o",IF(O74="","",IF(O74&lt;TODAY(),"!",IF(O74&lt;=TODAY()+1,"~","ok")))))</f>
        <v/>
      </c>
    </row>
    <row r="75" ht="20" customHeight="1">
      <c r="A75" s="7" t="n"/>
      <c r="B75" s="8" t="n"/>
      <c r="C75" s="7" t="n"/>
      <c r="D75" s="8" t="n"/>
      <c r="E75" s="8" t="n"/>
      <c r="F75" s="8" t="n"/>
      <c r="G75" s="8" t="n"/>
      <c r="H75" s="8" t="n"/>
      <c r="I75" s="7" t="n"/>
      <c r="J75" s="8" t="n"/>
      <c r="K75" s="7" t="n"/>
      <c r="L75" s="7" t="n"/>
      <c r="M75" s="8" t="n"/>
      <c r="N75" s="8" t="n"/>
      <c r="O75" s="7" t="n"/>
      <c r="P75" s="7" t="n"/>
      <c r="Q75" s="7" t="n"/>
      <c r="R75" s="8" t="n"/>
      <c r="S75" s="8" t="n"/>
      <c r="T75" s="9">
        <f>IF(M75="","",IF(OR(M75="Kauf abgeschlossen",M75="Verloren",M75="Warten auf Raum"),"o",IF(O75="","",IF(O75&lt;TODAY(),"!",IF(O75&lt;=TODAY()+1,"~","ok")))))</f>
        <v/>
      </c>
    </row>
    <row r="76" ht="20" customHeight="1">
      <c r="A76" s="4" t="n"/>
      <c r="B76" s="5" t="n"/>
      <c r="C76" s="4" t="n"/>
      <c r="D76" s="5" t="n"/>
      <c r="E76" s="5" t="n"/>
      <c r="F76" s="5" t="n"/>
      <c r="G76" s="5" t="n"/>
      <c r="H76" s="5" t="n"/>
      <c r="I76" s="4" t="n"/>
      <c r="J76" s="5" t="n"/>
      <c r="K76" s="4" t="n"/>
      <c r="L76" s="4" t="n"/>
      <c r="M76" s="5" t="n"/>
      <c r="N76" s="5" t="n"/>
      <c r="O76" s="4" t="n"/>
      <c r="P76" s="4" t="n"/>
      <c r="Q76" s="4" t="n"/>
      <c r="R76" s="5" t="n"/>
      <c r="S76" s="5" t="n"/>
      <c r="T76" s="6">
        <f>IF(M76="","",IF(OR(M76="Kauf abgeschlossen",M76="Verloren",M76="Warten auf Raum"),"o",IF(O76="","",IF(O76&lt;TODAY(),"!",IF(O76&lt;=TODAY()+1,"~","ok")))))</f>
        <v/>
      </c>
    </row>
    <row r="77" ht="20" customHeight="1">
      <c r="A77" s="7" t="n"/>
      <c r="B77" s="8" t="n"/>
      <c r="C77" s="7" t="n"/>
      <c r="D77" s="8" t="n"/>
      <c r="E77" s="8" t="n"/>
      <c r="F77" s="8" t="n"/>
      <c r="G77" s="8" t="n"/>
      <c r="H77" s="8" t="n"/>
      <c r="I77" s="7" t="n"/>
      <c r="J77" s="8" t="n"/>
      <c r="K77" s="7" t="n"/>
      <c r="L77" s="7" t="n"/>
      <c r="M77" s="8" t="n"/>
      <c r="N77" s="8" t="n"/>
      <c r="O77" s="7" t="n"/>
      <c r="P77" s="7" t="n"/>
      <c r="Q77" s="7" t="n"/>
      <c r="R77" s="8" t="n"/>
      <c r="S77" s="8" t="n"/>
      <c r="T77" s="9">
        <f>IF(M77="","",IF(OR(M77="Kauf abgeschlossen",M77="Verloren",M77="Warten auf Raum"),"o",IF(O77="","",IF(O77&lt;TODAY(),"!",IF(O77&lt;=TODAY()+1,"~","ok")))))</f>
        <v/>
      </c>
    </row>
    <row r="78" ht="20" customHeight="1">
      <c r="A78" s="4" t="n"/>
      <c r="B78" s="5" t="n"/>
      <c r="C78" s="4" t="n"/>
      <c r="D78" s="5" t="n"/>
      <c r="E78" s="5" t="n"/>
      <c r="F78" s="5" t="n"/>
      <c r="G78" s="5" t="n"/>
      <c r="H78" s="5" t="n"/>
      <c r="I78" s="4" t="n"/>
      <c r="J78" s="5" t="n"/>
      <c r="K78" s="4" t="n"/>
      <c r="L78" s="4" t="n"/>
      <c r="M78" s="5" t="n"/>
      <c r="N78" s="5" t="n"/>
      <c r="O78" s="4" t="n"/>
      <c r="P78" s="4" t="n"/>
      <c r="Q78" s="4" t="n"/>
      <c r="R78" s="5" t="n"/>
      <c r="S78" s="5" t="n"/>
      <c r="T78" s="6">
        <f>IF(M78="","",IF(OR(M78="Kauf abgeschlossen",M78="Verloren",M78="Warten auf Raum"),"o",IF(O78="","",IF(O78&lt;TODAY(),"!",IF(O78&lt;=TODAY()+1,"~","ok")))))</f>
        <v/>
      </c>
    </row>
    <row r="79" ht="20" customHeight="1">
      <c r="A79" s="7" t="n"/>
      <c r="B79" s="8" t="n"/>
      <c r="C79" s="7" t="n"/>
      <c r="D79" s="8" t="n"/>
      <c r="E79" s="8" t="n"/>
      <c r="F79" s="8" t="n"/>
      <c r="G79" s="8" t="n"/>
      <c r="H79" s="8" t="n"/>
      <c r="I79" s="7" t="n"/>
      <c r="J79" s="8" t="n"/>
      <c r="K79" s="7" t="n"/>
      <c r="L79" s="7" t="n"/>
      <c r="M79" s="8" t="n"/>
      <c r="N79" s="8" t="n"/>
      <c r="O79" s="7" t="n"/>
      <c r="P79" s="7" t="n"/>
      <c r="Q79" s="7" t="n"/>
      <c r="R79" s="8" t="n"/>
      <c r="S79" s="8" t="n"/>
      <c r="T79" s="9">
        <f>IF(M79="","",IF(OR(M79="Kauf abgeschlossen",M79="Verloren",M79="Warten auf Raum"),"o",IF(O79="","",IF(O79&lt;TODAY(),"!",IF(O79&lt;=TODAY()+1,"~","ok")))))</f>
        <v/>
      </c>
    </row>
    <row r="80" ht="20" customHeight="1">
      <c r="A80" s="4" t="n"/>
      <c r="B80" s="5" t="n"/>
      <c r="C80" s="4" t="n"/>
      <c r="D80" s="5" t="n"/>
      <c r="E80" s="5" t="n"/>
      <c r="F80" s="5" t="n"/>
      <c r="G80" s="5" t="n"/>
      <c r="H80" s="5" t="n"/>
      <c r="I80" s="4" t="n"/>
      <c r="J80" s="5" t="n"/>
      <c r="K80" s="4" t="n"/>
      <c r="L80" s="4" t="n"/>
      <c r="M80" s="5" t="n"/>
      <c r="N80" s="5" t="n"/>
      <c r="O80" s="4" t="n"/>
      <c r="P80" s="4" t="n"/>
      <c r="Q80" s="4" t="n"/>
      <c r="R80" s="5" t="n"/>
      <c r="S80" s="5" t="n"/>
      <c r="T80" s="6">
        <f>IF(M80="","",IF(OR(M80="Kauf abgeschlossen",M80="Verloren",M80="Warten auf Raum"),"o",IF(O80="","",IF(O80&lt;TODAY(),"!",IF(O80&lt;=TODAY()+1,"~","ok")))))</f>
        <v/>
      </c>
    </row>
    <row r="81" ht="20" customHeight="1">
      <c r="A81" s="7" t="n"/>
      <c r="B81" s="8" t="n"/>
      <c r="C81" s="7" t="n"/>
      <c r="D81" s="8" t="n"/>
      <c r="E81" s="8" t="n"/>
      <c r="F81" s="8" t="n"/>
      <c r="G81" s="8" t="n"/>
      <c r="H81" s="8" t="n"/>
      <c r="I81" s="7" t="n"/>
      <c r="J81" s="8" t="n"/>
      <c r="K81" s="7" t="n"/>
      <c r="L81" s="7" t="n"/>
      <c r="M81" s="8" t="n"/>
      <c r="N81" s="8" t="n"/>
      <c r="O81" s="7" t="n"/>
      <c r="P81" s="7" t="n"/>
      <c r="Q81" s="7" t="n"/>
      <c r="R81" s="8" t="n"/>
      <c r="S81" s="8" t="n"/>
      <c r="T81" s="9">
        <f>IF(M81="","",IF(OR(M81="Kauf abgeschlossen",M81="Verloren",M81="Warten auf Raum"),"o",IF(O81="","",IF(O81&lt;TODAY(),"!",IF(O81&lt;=TODAY()+1,"~","ok")))))</f>
        <v/>
      </c>
    </row>
    <row r="82" ht="20" customHeight="1">
      <c r="A82" s="4" t="n"/>
      <c r="B82" s="5" t="n"/>
      <c r="C82" s="4" t="n"/>
      <c r="D82" s="5" t="n"/>
      <c r="E82" s="5" t="n"/>
      <c r="F82" s="5" t="n"/>
      <c r="G82" s="5" t="n"/>
      <c r="H82" s="5" t="n"/>
      <c r="I82" s="4" t="n"/>
      <c r="J82" s="5" t="n"/>
      <c r="K82" s="4" t="n"/>
      <c r="L82" s="4" t="n"/>
      <c r="M82" s="5" t="n"/>
      <c r="N82" s="5" t="n"/>
      <c r="O82" s="4" t="n"/>
      <c r="P82" s="4" t="n"/>
      <c r="Q82" s="4" t="n"/>
      <c r="R82" s="5" t="n"/>
      <c r="S82" s="5" t="n"/>
      <c r="T82" s="6">
        <f>IF(M82="","",IF(OR(M82="Kauf abgeschlossen",M82="Verloren",M82="Warten auf Raum"),"o",IF(O82="","",IF(O82&lt;TODAY(),"!",IF(O82&lt;=TODAY()+1,"~","ok")))))</f>
        <v/>
      </c>
    </row>
    <row r="83" ht="20" customHeight="1">
      <c r="A83" s="7" t="n"/>
      <c r="B83" s="8" t="n"/>
      <c r="C83" s="7" t="n"/>
      <c r="D83" s="8" t="n"/>
      <c r="E83" s="8" t="n"/>
      <c r="F83" s="8" t="n"/>
      <c r="G83" s="8" t="n"/>
      <c r="H83" s="8" t="n"/>
      <c r="I83" s="7" t="n"/>
      <c r="J83" s="8" t="n"/>
      <c r="K83" s="7" t="n"/>
      <c r="L83" s="7" t="n"/>
      <c r="M83" s="8" t="n"/>
      <c r="N83" s="8" t="n"/>
      <c r="O83" s="7" t="n"/>
      <c r="P83" s="7" t="n"/>
      <c r="Q83" s="7" t="n"/>
      <c r="R83" s="8" t="n"/>
      <c r="S83" s="8" t="n"/>
      <c r="T83" s="9">
        <f>IF(M83="","",IF(OR(M83="Kauf abgeschlossen",M83="Verloren",M83="Warten auf Raum"),"o",IF(O83="","",IF(O83&lt;TODAY(),"!",IF(O83&lt;=TODAY()+1,"~","ok")))))</f>
        <v/>
      </c>
    </row>
    <row r="84" ht="20" customHeight="1">
      <c r="A84" s="4" t="n"/>
      <c r="B84" s="5" t="n"/>
      <c r="C84" s="4" t="n"/>
      <c r="D84" s="5" t="n"/>
      <c r="E84" s="5" t="n"/>
      <c r="F84" s="5" t="n"/>
      <c r="G84" s="5" t="n"/>
      <c r="H84" s="5" t="n"/>
      <c r="I84" s="4" t="n"/>
      <c r="J84" s="5" t="n"/>
      <c r="K84" s="4" t="n"/>
      <c r="L84" s="4" t="n"/>
      <c r="M84" s="5" t="n"/>
      <c r="N84" s="5" t="n"/>
      <c r="O84" s="4" t="n"/>
      <c r="P84" s="4" t="n"/>
      <c r="Q84" s="4" t="n"/>
      <c r="R84" s="5" t="n"/>
      <c r="S84" s="5" t="n"/>
      <c r="T84" s="6">
        <f>IF(M84="","",IF(OR(M84="Kauf abgeschlossen",M84="Verloren",M84="Warten auf Raum"),"o",IF(O84="","",IF(O84&lt;TODAY(),"!",IF(O84&lt;=TODAY()+1,"~","ok")))))</f>
        <v/>
      </c>
    </row>
    <row r="85" ht="20" customHeight="1">
      <c r="A85" s="7" t="n"/>
      <c r="B85" s="8" t="n"/>
      <c r="C85" s="7" t="n"/>
      <c r="D85" s="8" t="n"/>
      <c r="E85" s="8" t="n"/>
      <c r="F85" s="8" t="n"/>
      <c r="G85" s="8" t="n"/>
      <c r="H85" s="8" t="n"/>
      <c r="I85" s="7" t="n"/>
      <c r="J85" s="8" t="n"/>
      <c r="K85" s="7" t="n"/>
      <c r="L85" s="7" t="n"/>
      <c r="M85" s="8" t="n"/>
      <c r="N85" s="8" t="n"/>
      <c r="O85" s="7" t="n"/>
      <c r="P85" s="7" t="n"/>
      <c r="Q85" s="7" t="n"/>
      <c r="R85" s="8" t="n"/>
      <c r="S85" s="8" t="n"/>
      <c r="T85" s="9">
        <f>IF(M85="","",IF(OR(M85="Kauf abgeschlossen",M85="Verloren",M85="Warten auf Raum"),"o",IF(O85="","",IF(O85&lt;TODAY(),"!",IF(O85&lt;=TODAY()+1,"~","ok")))))</f>
        <v/>
      </c>
    </row>
    <row r="86" ht="20" customHeight="1">
      <c r="A86" s="4" t="n"/>
      <c r="B86" s="5" t="n"/>
      <c r="C86" s="4" t="n"/>
      <c r="D86" s="5" t="n"/>
      <c r="E86" s="5" t="n"/>
      <c r="F86" s="5" t="n"/>
      <c r="G86" s="5" t="n"/>
      <c r="H86" s="5" t="n"/>
      <c r="I86" s="4" t="n"/>
      <c r="J86" s="5" t="n"/>
      <c r="K86" s="4" t="n"/>
      <c r="L86" s="4" t="n"/>
      <c r="M86" s="5" t="n"/>
      <c r="N86" s="5" t="n"/>
      <c r="O86" s="4" t="n"/>
      <c r="P86" s="4" t="n"/>
      <c r="Q86" s="4" t="n"/>
      <c r="R86" s="5" t="n"/>
      <c r="S86" s="5" t="n"/>
      <c r="T86" s="6">
        <f>IF(M86="","",IF(OR(M86="Kauf abgeschlossen",M86="Verloren",M86="Warten auf Raum"),"o",IF(O86="","",IF(O86&lt;TODAY(),"!",IF(O86&lt;=TODAY()+1,"~","ok")))))</f>
        <v/>
      </c>
    </row>
    <row r="87" ht="20" customHeight="1">
      <c r="A87" s="7" t="n"/>
      <c r="B87" s="8" t="n"/>
      <c r="C87" s="7" t="n"/>
      <c r="D87" s="8" t="n"/>
      <c r="E87" s="8" t="n"/>
      <c r="F87" s="8" t="n"/>
      <c r="G87" s="8" t="n"/>
      <c r="H87" s="8" t="n"/>
      <c r="I87" s="7" t="n"/>
      <c r="J87" s="8" t="n"/>
      <c r="K87" s="7" t="n"/>
      <c r="L87" s="7" t="n"/>
      <c r="M87" s="8" t="n"/>
      <c r="N87" s="8" t="n"/>
      <c r="O87" s="7" t="n"/>
      <c r="P87" s="7" t="n"/>
      <c r="Q87" s="7" t="n"/>
      <c r="R87" s="8" t="n"/>
      <c r="S87" s="8" t="n"/>
      <c r="T87" s="9">
        <f>IF(M87="","",IF(OR(M87="Kauf abgeschlossen",M87="Verloren",M87="Warten auf Raum"),"o",IF(O87="","",IF(O87&lt;TODAY(),"!",IF(O87&lt;=TODAY()+1,"~","ok")))))</f>
        <v/>
      </c>
    </row>
    <row r="88" ht="20" customHeight="1">
      <c r="A88" s="4" t="n"/>
      <c r="B88" s="5" t="n"/>
      <c r="C88" s="4" t="n"/>
      <c r="D88" s="5" t="n"/>
      <c r="E88" s="5" t="n"/>
      <c r="F88" s="5" t="n"/>
      <c r="G88" s="5" t="n"/>
      <c r="H88" s="5" t="n"/>
      <c r="I88" s="4" t="n"/>
      <c r="J88" s="5" t="n"/>
      <c r="K88" s="4" t="n"/>
      <c r="L88" s="4" t="n"/>
      <c r="M88" s="5" t="n"/>
      <c r="N88" s="5" t="n"/>
      <c r="O88" s="4" t="n"/>
      <c r="P88" s="4" t="n"/>
      <c r="Q88" s="4" t="n"/>
      <c r="R88" s="5" t="n"/>
      <c r="S88" s="5" t="n"/>
      <c r="T88" s="6">
        <f>IF(M88="","",IF(OR(M88="Kauf abgeschlossen",M88="Verloren",M88="Warten auf Raum"),"o",IF(O88="","",IF(O88&lt;TODAY(),"!",IF(O88&lt;=TODAY()+1,"~","ok")))))</f>
        <v/>
      </c>
    </row>
    <row r="89" ht="20" customHeight="1">
      <c r="A89" s="7" t="n"/>
      <c r="B89" s="8" t="n"/>
      <c r="C89" s="7" t="n"/>
      <c r="D89" s="8" t="n"/>
      <c r="E89" s="8" t="n"/>
      <c r="F89" s="8" t="n"/>
      <c r="G89" s="8" t="n"/>
      <c r="H89" s="8" t="n"/>
      <c r="I89" s="7" t="n"/>
      <c r="J89" s="8" t="n"/>
      <c r="K89" s="7" t="n"/>
      <c r="L89" s="7" t="n"/>
      <c r="M89" s="8" t="n"/>
      <c r="N89" s="8" t="n"/>
      <c r="O89" s="7" t="n"/>
      <c r="P89" s="7" t="n"/>
      <c r="Q89" s="7" t="n"/>
      <c r="R89" s="8" t="n"/>
      <c r="S89" s="8" t="n"/>
      <c r="T89" s="9">
        <f>IF(M89="","",IF(OR(M89="Kauf abgeschlossen",M89="Verloren",M89="Warten auf Raum"),"o",IF(O89="","",IF(O89&lt;TODAY(),"!",IF(O89&lt;=TODAY()+1,"~","ok")))))</f>
        <v/>
      </c>
    </row>
    <row r="90" ht="20" customHeight="1">
      <c r="A90" s="4" t="n"/>
      <c r="B90" s="5" t="n"/>
      <c r="C90" s="4" t="n"/>
      <c r="D90" s="5" t="n"/>
      <c r="E90" s="5" t="n"/>
      <c r="F90" s="5" t="n"/>
      <c r="G90" s="5" t="n"/>
      <c r="H90" s="5" t="n"/>
      <c r="I90" s="4" t="n"/>
      <c r="J90" s="5" t="n"/>
      <c r="K90" s="4" t="n"/>
      <c r="L90" s="4" t="n"/>
      <c r="M90" s="5" t="n"/>
      <c r="N90" s="5" t="n"/>
      <c r="O90" s="4" t="n"/>
      <c r="P90" s="4" t="n"/>
      <c r="Q90" s="4" t="n"/>
      <c r="R90" s="5" t="n"/>
      <c r="S90" s="5" t="n"/>
      <c r="T90" s="6">
        <f>IF(M90="","",IF(OR(M90="Kauf abgeschlossen",M90="Verloren",M90="Warten auf Raum"),"o",IF(O90="","",IF(O90&lt;TODAY(),"!",IF(O90&lt;=TODAY()+1,"~","ok")))))</f>
        <v/>
      </c>
    </row>
    <row r="91" ht="20" customHeight="1">
      <c r="A91" s="7" t="n"/>
      <c r="B91" s="8" t="n"/>
      <c r="C91" s="7" t="n"/>
      <c r="D91" s="8" t="n"/>
      <c r="E91" s="8" t="n"/>
      <c r="F91" s="8" t="n"/>
      <c r="G91" s="8" t="n"/>
      <c r="H91" s="8" t="n"/>
      <c r="I91" s="7" t="n"/>
      <c r="J91" s="8" t="n"/>
      <c r="K91" s="7" t="n"/>
      <c r="L91" s="7" t="n"/>
      <c r="M91" s="8" t="n"/>
      <c r="N91" s="8" t="n"/>
      <c r="O91" s="7" t="n"/>
      <c r="P91" s="7" t="n"/>
      <c r="Q91" s="7" t="n"/>
      <c r="R91" s="8" t="n"/>
      <c r="S91" s="8" t="n"/>
      <c r="T91" s="9">
        <f>IF(M91="","",IF(OR(M91="Kauf abgeschlossen",M91="Verloren",M91="Warten auf Raum"),"o",IF(O91="","",IF(O91&lt;TODAY(),"!",IF(O91&lt;=TODAY()+1,"~","ok")))))</f>
        <v/>
      </c>
    </row>
    <row r="92" ht="20" customHeight="1">
      <c r="A92" s="4" t="n"/>
      <c r="B92" s="5" t="n"/>
      <c r="C92" s="4" t="n"/>
      <c r="D92" s="5" t="n"/>
      <c r="E92" s="5" t="n"/>
      <c r="F92" s="5" t="n"/>
      <c r="G92" s="5" t="n"/>
      <c r="H92" s="5" t="n"/>
      <c r="I92" s="4" t="n"/>
      <c r="J92" s="5" t="n"/>
      <c r="K92" s="4" t="n"/>
      <c r="L92" s="4" t="n"/>
      <c r="M92" s="5" t="n"/>
      <c r="N92" s="5" t="n"/>
      <c r="O92" s="4" t="n"/>
      <c r="P92" s="4" t="n"/>
      <c r="Q92" s="4" t="n"/>
      <c r="R92" s="5" t="n"/>
      <c r="S92" s="5" t="n"/>
      <c r="T92" s="6">
        <f>IF(M92="","",IF(OR(M92="Kauf abgeschlossen",M92="Verloren",M92="Warten auf Raum"),"o",IF(O92="","",IF(O92&lt;TODAY(),"!",IF(O92&lt;=TODAY()+1,"~","ok")))))</f>
        <v/>
      </c>
    </row>
    <row r="93" ht="20" customHeight="1">
      <c r="A93" s="7" t="n"/>
      <c r="B93" s="8" t="n"/>
      <c r="C93" s="7" t="n"/>
      <c r="D93" s="8" t="n"/>
      <c r="E93" s="8" t="n"/>
      <c r="F93" s="8" t="n"/>
      <c r="G93" s="8" t="n"/>
      <c r="H93" s="8" t="n"/>
      <c r="I93" s="7" t="n"/>
      <c r="J93" s="8" t="n"/>
      <c r="K93" s="7" t="n"/>
      <c r="L93" s="7" t="n"/>
      <c r="M93" s="8" t="n"/>
      <c r="N93" s="8" t="n"/>
      <c r="O93" s="7" t="n"/>
      <c r="P93" s="7" t="n"/>
      <c r="Q93" s="7" t="n"/>
      <c r="R93" s="8" t="n"/>
      <c r="S93" s="8" t="n"/>
      <c r="T93" s="9">
        <f>IF(M93="","",IF(OR(M93="Kauf abgeschlossen",M93="Verloren",M93="Warten auf Raum"),"o",IF(O93="","",IF(O93&lt;TODAY(),"!",IF(O93&lt;=TODAY()+1,"~","ok")))))</f>
        <v/>
      </c>
    </row>
    <row r="94" ht="20" customHeight="1">
      <c r="A94" s="4" t="n"/>
      <c r="B94" s="5" t="n"/>
      <c r="C94" s="4" t="n"/>
      <c r="D94" s="5" t="n"/>
      <c r="E94" s="5" t="n"/>
      <c r="F94" s="5" t="n"/>
      <c r="G94" s="5" t="n"/>
      <c r="H94" s="5" t="n"/>
      <c r="I94" s="4" t="n"/>
      <c r="J94" s="5" t="n"/>
      <c r="K94" s="4" t="n"/>
      <c r="L94" s="4" t="n"/>
      <c r="M94" s="5" t="n"/>
      <c r="N94" s="5" t="n"/>
      <c r="O94" s="4" t="n"/>
      <c r="P94" s="4" t="n"/>
      <c r="Q94" s="4" t="n"/>
      <c r="R94" s="5" t="n"/>
      <c r="S94" s="5" t="n"/>
      <c r="T94" s="6">
        <f>IF(M94="","",IF(OR(M94="Kauf abgeschlossen",M94="Verloren",M94="Warten auf Raum"),"o",IF(O94="","",IF(O94&lt;TODAY(),"!",IF(O94&lt;=TODAY()+1,"~","ok")))))</f>
        <v/>
      </c>
    </row>
    <row r="95" ht="20" customHeight="1">
      <c r="A95" s="7" t="n"/>
      <c r="B95" s="8" t="n"/>
      <c r="C95" s="7" t="n"/>
      <c r="D95" s="8" t="n"/>
      <c r="E95" s="8" t="n"/>
      <c r="F95" s="8" t="n"/>
      <c r="G95" s="8" t="n"/>
      <c r="H95" s="8" t="n"/>
      <c r="I95" s="7" t="n"/>
      <c r="J95" s="8" t="n"/>
      <c r="K95" s="7" t="n"/>
      <c r="L95" s="7" t="n"/>
      <c r="M95" s="8" t="n"/>
      <c r="N95" s="8" t="n"/>
      <c r="O95" s="7" t="n"/>
      <c r="P95" s="7" t="n"/>
      <c r="Q95" s="7" t="n"/>
      <c r="R95" s="8" t="n"/>
      <c r="S95" s="8" t="n"/>
      <c r="T95" s="9">
        <f>IF(M95="","",IF(OR(M95="Kauf abgeschlossen",M95="Verloren",M95="Warten auf Raum"),"o",IF(O95="","",IF(O95&lt;TODAY(),"!",IF(O95&lt;=TODAY()+1,"~","ok")))))</f>
        <v/>
      </c>
    </row>
    <row r="96" ht="20" customHeight="1">
      <c r="A96" s="4" t="n"/>
      <c r="B96" s="5" t="n"/>
      <c r="C96" s="4" t="n"/>
      <c r="D96" s="5" t="n"/>
      <c r="E96" s="5" t="n"/>
      <c r="F96" s="5" t="n"/>
      <c r="G96" s="5" t="n"/>
      <c r="H96" s="5" t="n"/>
      <c r="I96" s="4" t="n"/>
      <c r="J96" s="5" t="n"/>
      <c r="K96" s="4" t="n"/>
      <c r="L96" s="4" t="n"/>
      <c r="M96" s="5" t="n"/>
      <c r="N96" s="5" t="n"/>
      <c r="O96" s="4" t="n"/>
      <c r="P96" s="4" t="n"/>
      <c r="Q96" s="4" t="n"/>
      <c r="R96" s="5" t="n"/>
      <c r="S96" s="5" t="n"/>
      <c r="T96" s="6">
        <f>IF(M96="","",IF(OR(M96="Kauf abgeschlossen",M96="Verloren",M96="Warten auf Raum"),"o",IF(O96="","",IF(O96&lt;TODAY(),"!",IF(O96&lt;=TODAY()+1,"~","ok")))))</f>
        <v/>
      </c>
    </row>
    <row r="97" ht="20" customHeight="1">
      <c r="A97" s="7" t="n"/>
      <c r="B97" s="8" t="n"/>
      <c r="C97" s="7" t="n"/>
      <c r="D97" s="8" t="n"/>
      <c r="E97" s="8" t="n"/>
      <c r="F97" s="8" t="n"/>
      <c r="G97" s="8" t="n"/>
      <c r="H97" s="8" t="n"/>
      <c r="I97" s="7" t="n"/>
      <c r="J97" s="8" t="n"/>
      <c r="K97" s="7" t="n"/>
      <c r="L97" s="7" t="n"/>
      <c r="M97" s="8" t="n"/>
      <c r="N97" s="8" t="n"/>
      <c r="O97" s="7" t="n"/>
      <c r="P97" s="7" t="n"/>
      <c r="Q97" s="7" t="n"/>
      <c r="R97" s="8" t="n"/>
      <c r="S97" s="8" t="n"/>
      <c r="T97" s="9">
        <f>IF(M97="","",IF(OR(M97="Kauf abgeschlossen",M97="Verloren",M97="Warten auf Raum"),"o",IF(O97="","",IF(O97&lt;TODAY(),"!",IF(O97&lt;=TODAY()+1,"~","ok")))))</f>
        <v/>
      </c>
    </row>
    <row r="98" ht="20" customHeight="1">
      <c r="A98" s="4" t="n"/>
      <c r="B98" s="5" t="n"/>
      <c r="C98" s="4" t="n"/>
      <c r="D98" s="5" t="n"/>
      <c r="E98" s="5" t="n"/>
      <c r="F98" s="5" t="n"/>
      <c r="G98" s="5" t="n"/>
      <c r="H98" s="5" t="n"/>
      <c r="I98" s="4" t="n"/>
      <c r="J98" s="5" t="n"/>
      <c r="K98" s="4" t="n"/>
      <c r="L98" s="4" t="n"/>
      <c r="M98" s="5" t="n"/>
      <c r="N98" s="5" t="n"/>
      <c r="O98" s="4" t="n"/>
      <c r="P98" s="4" t="n"/>
      <c r="Q98" s="4" t="n"/>
      <c r="R98" s="5" t="n"/>
      <c r="S98" s="5" t="n"/>
      <c r="T98" s="6">
        <f>IF(M98="","",IF(OR(M98="Kauf abgeschlossen",M98="Verloren",M98="Warten auf Raum"),"o",IF(O98="","",IF(O98&lt;TODAY(),"!",IF(O98&lt;=TODAY()+1,"~","ok")))))</f>
        <v/>
      </c>
    </row>
    <row r="99" ht="20" customHeight="1">
      <c r="A99" s="7" t="n"/>
      <c r="B99" s="8" t="n"/>
      <c r="C99" s="7" t="n"/>
      <c r="D99" s="8" t="n"/>
      <c r="E99" s="8" t="n"/>
      <c r="F99" s="8" t="n"/>
      <c r="G99" s="8" t="n"/>
      <c r="H99" s="8" t="n"/>
      <c r="I99" s="7" t="n"/>
      <c r="J99" s="8" t="n"/>
      <c r="K99" s="7" t="n"/>
      <c r="L99" s="7" t="n"/>
      <c r="M99" s="8" t="n"/>
      <c r="N99" s="8" t="n"/>
      <c r="O99" s="7" t="n"/>
      <c r="P99" s="7" t="n"/>
      <c r="Q99" s="7" t="n"/>
      <c r="R99" s="8" t="n"/>
      <c r="S99" s="8" t="n"/>
      <c r="T99" s="9">
        <f>IF(M99="","",IF(OR(M99="Kauf abgeschlossen",M99="Verloren",M99="Warten auf Raum"),"o",IF(O99="","",IF(O99&lt;TODAY(),"!",IF(O99&lt;=TODAY()+1,"~","ok")))))</f>
        <v/>
      </c>
    </row>
    <row r="100" ht="20" customHeight="1">
      <c r="A100" s="4" t="n"/>
      <c r="B100" s="5" t="n"/>
      <c r="C100" s="4" t="n"/>
      <c r="D100" s="5" t="n"/>
      <c r="E100" s="5" t="n"/>
      <c r="F100" s="5" t="n"/>
      <c r="G100" s="5" t="n"/>
      <c r="H100" s="5" t="n"/>
      <c r="I100" s="4" t="n"/>
      <c r="J100" s="5" t="n"/>
      <c r="K100" s="4" t="n"/>
      <c r="L100" s="4" t="n"/>
      <c r="M100" s="5" t="n"/>
      <c r="N100" s="5" t="n"/>
      <c r="O100" s="4" t="n"/>
      <c r="P100" s="4" t="n"/>
      <c r="Q100" s="4" t="n"/>
      <c r="R100" s="5" t="n"/>
      <c r="S100" s="5" t="n"/>
      <c r="T100" s="6">
        <f>IF(M100="","",IF(OR(M100="Kauf abgeschlossen",M100="Verloren",M100="Warten auf Raum"),"o",IF(O100="","",IF(O100&lt;TODAY(),"!",IF(O100&lt;=TODAY()+1,"~","ok")))))</f>
        <v/>
      </c>
    </row>
    <row r="101" ht="20" customHeight="1">
      <c r="A101" s="7" t="n"/>
      <c r="B101" s="8" t="n"/>
      <c r="C101" s="7" t="n"/>
      <c r="D101" s="8" t="n"/>
      <c r="E101" s="8" t="n"/>
      <c r="F101" s="8" t="n"/>
      <c r="G101" s="8" t="n"/>
      <c r="H101" s="8" t="n"/>
      <c r="I101" s="7" t="n"/>
      <c r="J101" s="8" t="n"/>
      <c r="K101" s="7" t="n"/>
      <c r="L101" s="7" t="n"/>
      <c r="M101" s="8" t="n"/>
      <c r="N101" s="8" t="n"/>
      <c r="O101" s="7" t="n"/>
      <c r="P101" s="7" t="n"/>
      <c r="Q101" s="7" t="n"/>
      <c r="R101" s="8" t="n"/>
      <c r="S101" s="8" t="n"/>
      <c r="T101" s="9">
        <f>IF(M101="","",IF(OR(M101="Kauf abgeschlossen",M101="Verloren",M101="Warten auf Raum"),"o",IF(O101="","",IF(O101&lt;TODAY(),"!",IF(O101&lt;=TODAY()+1,"~","ok")))))</f>
        <v/>
      </c>
    </row>
    <row r="102" ht="20" customHeight="1">
      <c r="A102" s="4" t="n"/>
      <c r="B102" s="5" t="n"/>
      <c r="C102" s="4" t="n"/>
      <c r="D102" s="5" t="n"/>
      <c r="E102" s="5" t="n"/>
      <c r="F102" s="5" t="n"/>
      <c r="G102" s="5" t="n"/>
      <c r="H102" s="5" t="n"/>
      <c r="I102" s="4" t="n"/>
      <c r="J102" s="5" t="n"/>
      <c r="K102" s="4" t="n"/>
      <c r="L102" s="4" t="n"/>
      <c r="M102" s="5" t="n"/>
      <c r="N102" s="5" t="n"/>
      <c r="O102" s="4" t="n"/>
      <c r="P102" s="4" t="n"/>
      <c r="Q102" s="4" t="n"/>
      <c r="R102" s="5" t="n"/>
      <c r="S102" s="5" t="n"/>
      <c r="T102" s="6">
        <f>IF(M102="","",IF(OR(M102="Kauf abgeschlossen",M102="Verloren",M102="Warten auf Raum"),"o",IF(O102="","",IF(O102&lt;TODAY(),"!",IF(O102&lt;=TODAY()+1,"~","ok")))))</f>
        <v/>
      </c>
    </row>
    <row r="103" ht="20" customHeight="1">
      <c r="A103" s="7" t="n"/>
      <c r="B103" s="8" t="n"/>
      <c r="C103" s="7" t="n"/>
      <c r="D103" s="8" t="n"/>
      <c r="E103" s="8" t="n"/>
      <c r="F103" s="8" t="n"/>
      <c r="G103" s="8" t="n"/>
      <c r="H103" s="8" t="n"/>
      <c r="I103" s="7" t="n"/>
      <c r="J103" s="8" t="n"/>
      <c r="K103" s="7" t="n"/>
      <c r="L103" s="7" t="n"/>
      <c r="M103" s="8" t="n"/>
      <c r="N103" s="8" t="n"/>
      <c r="O103" s="7" t="n"/>
      <c r="P103" s="7" t="n"/>
      <c r="Q103" s="7" t="n"/>
      <c r="R103" s="8" t="n"/>
      <c r="S103" s="8" t="n"/>
      <c r="T103" s="9">
        <f>IF(M103="","",IF(OR(M103="Kauf abgeschlossen",M103="Verloren",M103="Warten auf Raum"),"o",IF(O103="","",IF(O103&lt;TODAY(),"!",IF(O103&lt;=TODAY()+1,"~","ok")))))</f>
        <v/>
      </c>
    </row>
    <row r="104" ht="20" customHeight="1">
      <c r="A104" s="4" t="n"/>
      <c r="B104" s="5" t="n"/>
      <c r="C104" s="4" t="n"/>
      <c r="D104" s="5" t="n"/>
      <c r="E104" s="5" t="n"/>
      <c r="F104" s="5" t="n"/>
      <c r="G104" s="5" t="n"/>
      <c r="H104" s="5" t="n"/>
      <c r="I104" s="4" t="n"/>
      <c r="J104" s="5" t="n"/>
      <c r="K104" s="4" t="n"/>
      <c r="L104" s="4" t="n"/>
      <c r="M104" s="5" t="n"/>
      <c r="N104" s="5" t="n"/>
      <c r="O104" s="4" t="n"/>
      <c r="P104" s="4" t="n"/>
      <c r="Q104" s="4" t="n"/>
      <c r="R104" s="5" t="n"/>
      <c r="S104" s="5" t="n"/>
      <c r="T104" s="6">
        <f>IF(M104="","",IF(OR(M104="Kauf abgeschlossen",M104="Verloren",M104="Warten auf Raum"),"o",IF(O104="","",IF(O104&lt;TODAY(),"!",IF(O104&lt;=TODAY()+1,"~","ok")))))</f>
        <v/>
      </c>
    </row>
    <row r="105" ht="20" customHeight="1">
      <c r="A105" s="7" t="n"/>
      <c r="B105" s="8" t="n"/>
      <c r="C105" s="7" t="n"/>
      <c r="D105" s="8" t="n"/>
      <c r="E105" s="8" t="n"/>
      <c r="F105" s="8" t="n"/>
      <c r="G105" s="8" t="n"/>
      <c r="H105" s="8" t="n"/>
      <c r="I105" s="7" t="n"/>
      <c r="J105" s="8" t="n"/>
      <c r="K105" s="7" t="n"/>
      <c r="L105" s="7" t="n"/>
      <c r="M105" s="8" t="n"/>
      <c r="N105" s="8" t="n"/>
      <c r="O105" s="7" t="n"/>
      <c r="P105" s="7" t="n"/>
      <c r="Q105" s="7" t="n"/>
      <c r="R105" s="8" t="n"/>
      <c r="S105" s="8" t="n"/>
      <c r="T105" s="9">
        <f>IF(M105="","",IF(OR(M105="Kauf abgeschlossen",M105="Verloren",M105="Warten auf Raum"),"o",IF(O105="","",IF(O105&lt;TODAY(),"!",IF(O105&lt;=TODAY()+1,"~","ok")))))</f>
        <v/>
      </c>
    </row>
    <row r="106" ht="20" customHeight="1">
      <c r="A106" s="4" t="n"/>
      <c r="B106" s="5" t="n"/>
      <c r="C106" s="4" t="n"/>
      <c r="D106" s="5" t="n"/>
      <c r="E106" s="5" t="n"/>
      <c r="F106" s="5" t="n"/>
      <c r="G106" s="5" t="n"/>
      <c r="H106" s="5" t="n"/>
      <c r="I106" s="4" t="n"/>
      <c r="J106" s="5" t="n"/>
      <c r="K106" s="4" t="n"/>
      <c r="L106" s="4" t="n"/>
      <c r="M106" s="5" t="n"/>
      <c r="N106" s="5" t="n"/>
      <c r="O106" s="4" t="n"/>
      <c r="P106" s="4" t="n"/>
      <c r="Q106" s="4" t="n"/>
      <c r="R106" s="5" t="n"/>
      <c r="S106" s="5" t="n"/>
      <c r="T106" s="6">
        <f>IF(M106="","",IF(OR(M106="Kauf abgeschlossen",M106="Verloren",M106="Warten auf Raum"),"o",IF(O106="","",IF(O106&lt;TODAY(),"!",IF(O106&lt;=TODAY()+1,"~","ok")))))</f>
        <v/>
      </c>
    </row>
    <row r="107" ht="20" customHeight="1">
      <c r="A107" s="7" t="n"/>
      <c r="B107" s="8" t="n"/>
      <c r="C107" s="7" t="n"/>
      <c r="D107" s="8" t="n"/>
      <c r="E107" s="8" t="n"/>
      <c r="F107" s="8" t="n"/>
      <c r="G107" s="8" t="n"/>
      <c r="H107" s="8" t="n"/>
      <c r="I107" s="7" t="n"/>
      <c r="J107" s="8" t="n"/>
      <c r="K107" s="7" t="n"/>
      <c r="L107" s="7" t="n"/>
      <c r="M107" s="8" t="n"/>
      <c r="N107" s="8" t="n"/>
      <c r="O107" s="7" t="n"/>
      <c r="P107" s="7" t="n"/>
      <c r="Q107" s="7" t="n"/>
      <c r="R107" s="8" t="n"/>
      <c r="S107" s="8" t="n"/>
      <c r="T107" s="9">
        <f>IF(M107="","",IF(OR(M107="Kauf abgeschlossen",M107="Verloren",M107="Warten auf Raum"),"o",IF(O107="","",IF(O107&lt;TODAY(),"!",IF(O107&lt;=TODAY()+1,"~","ok")))))</f>
        <v/>
      </c>
    </row>
    <row r="108" ht="20" customHeight="1">
      <c r="A108" s="4" t="n"/>
      <c r="B108" s="5" t="n"/>
      <c r="C108" s="4" t="n"/>
      <c r="D108" s="5" t="n"/>
      <c r="E108" s="5" t="n"/>
      <c r="F108" s="5" t="n"/>
      <c r="G108" s="5" t="n"/>
      <c r="H108" s="5" t="n"/>
      <c r="I108" s="4" t="n"/>
      <c r="J108" s="5" t="n"/>
      <c r="K108" s="4" t="n"/>
      <c r="L108" s="4" t="n"/>
      <c r="M108" s="5" t="n"/>
      <c r="N108" s="5" t="n"/>
      <c r="O108" s="4" t="n"/>
      <c r="P108" s="4" t="n"/>
      <c r="Q108" s="4" t="n"/>
      <c r="R108" s="5" t="n"/>
      <c r="S108" s="5" t="n"/>
      <c r="T108" s="6">
        <f>IF(M108="","",IF(OR(M108="Kauf abgeschlossen",M108="Verloren",M108="Warten auf Raum"),"o",IF(O108="","",IF(O108&lt;TODAY(),"!",IF(O108&lt;=TODAY()+1,"~","ok")))))</f>
        <v/>
      </c>
    </row>
    <row r="109" ht="20" customHeight="1">
      <c r="A109" s="7" t="n"/>
      <c r="B109" s="8" t="n"/>
      <c r="C109" s="7" t="n"/>
      <c r="D109" s="8" t="n"/>
      <c r="E109" s="8" t="n"/>
      <c r="F109" s="8" t="n"/>
      <c r="G109" s="8" t="n"/>
      <c r="H109" s="8" t="n"/>
      <c r="I109" s="7" t="n"/>
      <c r="J109" s="8" t="n"/>
      <c r="K109" s="7" t="n"/>
      <c r="L109" s="7" t="n"/>
      <c r="M109" s="8" t="n"/>
      <c r="N109" s="8" t="n"/>
      <c r="O109" s="7" t="n"/>
      <c r="P109" s="7" t="n"/>
      <c r="Q109" s="7" t="n"/>
      <c r="R109" s="8" t="n"/>
      <c r="S109" s="8" t="n"/>
      <c r="T109" s="9">
        <f>IF(M109="","",IF(OR(M109="Kauf abgeschlossen",M109="Verloren",M109="Warten auf Raum"),"o",IF(O109="","",IF(O109&lt;TODAY(),"!",IF(O109&lt;=TODAY()+1,"~","ok")))))</f>
        <v/>
      </c>
    </row>
    <row r="110" ht="20" customHeight="1">
      <c r="A110" s="4" t="n"/>
      <c r="B110" s="5" t="n"/>
      <c r="C110" s="4" t="n"/>
      <c r="D110" s="5" t="n"/>
      <c r="E110" s="5" t="n"/>
      <c r="F110" s="5" t="n"/>
      <c r="G110" s="5" t="n"/>
      <c r="H110" s="5" t="n"/>
      <c r="I110" s="4" t="n"/>
      <c r="J110" s="5" t="n"/>
      <c r="K110" s="4" t="n"/>
      <c r="L110" s="4" t="n"/>
      <c r="M110" s="5" t="n"/>
      <c r="N110" s="5" t="n"/>
      <c r="O110" s="4" t="n"/>
      <c r="P110" s="4" t="n"/>
      <c r="Q110" s="4" t="n"/>
      <c r="R110" s="5" t="n"/>
      <c r="S110" s="5" t="n"/>
      <c r="T110" s="6">
        <f>IF(M110="","",IF(OR(M110="Kauf abgeschlossen",M110="Verloren",M110="Warten auf Raum"),"o",IF(O110="","",IF(O110&lt;TODAY(),"!",IF(O110&lt;=TODAY()+1,"~","ok")))))</f>
        <v/>
      </c>
    </row>
    <row r="111" ht="20" customHeight="1">
      <c r="A111" s="7" t="n"/>
      <c r="B111" s="8" t="n"/>
      <c r="C111" s="7" t="n"/>
      <c r="D111" s="8" t="n"/>
      <c r="E111" s="8" t="n"/>
      <c r="F111" s="8" t="n"/>
      <c r="G111" s="8" t="n"/>
      <c r="H111" s="8" t="n"/>
      <c r="I111" s="7" t="n"/>
      <c r="J111" s="8" t="n"/>
      <c r="K111" s="7" t="n"/>
      <c r="L111" s="7" t="n"/>
      <c r="M111" s="8" t="n"/>
      <c r="N111" s="8" t="n"/>
      <c r="O111" s="7" t="n"/>
      <c r="P111" s="7" t="n"/>
      <c r="Q111" s="7" t="n"/>
      <c r="R111" s="8" t="n"/>
      <c r="S111" s="8" t="n"/>
      <c r="T111" s="9">
        <f>IF(M111="","",IF(OR(M111="Kauf abgeschlossen",M111="Verloren",M111="Warten auf Raum"),"o",IF(O111="","",IF(O111&lt;TODAY(),"!",IF(O111&lt;=TODAY()+1,"~","ok")))))</f>
        <v/>
      </c>
    </row>
    <row r="112" ht="20" customHeight="1">
      <c r="A112" s="4" t="n"/>
      <c r="B112" s="5" t="n"/>
      <c r="C112" s="4" t="n"/>
      <c r="D112" s="5" t="n"/>
      <c r="E112" s="5" t="n"/>
      <c r="F112" s="5" t="n"/>
      <c r="G112" s="5" t="n"/>
      <c r="H112" s="5" t="n"/>
      <c r="I112" s="4" t="n"/>
      <c r="J112" s="5" t="n"/>
      <c r="K112" s="4" t="n"/>
      <c r="L112" s="4" t="n"/>
      <c r="M112" s="5" t="n"/>
      <c r="N112" s="5" t="n"/>
      <c r="O112" s="4" t="n"/>
      <c r="P112" s="4" t="n"/>
      <c r="Q112" s="4" t="n"/>
      <c r="R112" s="5" t="n"/>
      <c r="S112" s="5" t="n"/>
      <c r="T112" s="6">
        <f>IF(M112="","",IF(OR(M112="Kauf abgeschlossen",M112="Verloren",M112="Warten auf Raum"),"o",IF(O112="","",IF(O112&lt;TODAY(),"!",IF(O112&lt;=TODAY()+1,"~","ok")))))</f>
        <v/>
      </c>
    </row>
    <row r="113" ht="20" customHeight="1">
      <c r="A113" s="7" t="n"/>
      <c r="B113" s="8" t="n"/>
      <c r="C113" s="7" t="n"/>
      <c r="D113" s="8" t="n"/>
      <c r="E113" s="8" t="n"/>
      <c r="F113" s="8" t="n"/>
      <c r="G113" s="8" t="n"/>
      <c r="H113" s="8" t="n"/>
      <c r="I113" s="7" t="n"/>
      <c r="J113" s="8" t="n"/>
      <c r="K113" s="7" t="n"/>
      <c r="L113" s="7" t="n"/>
      <c r="M113" s="8" t="n"/>
      <c r="N113" s="8" t="n"/>
      <c r="O113" s="7" t="n"/>
      <c r="P113" s="7" t="n"/>
      <c r="Q113" s="7" t="n"/>
      <c r="R113" s="8" t="n"/>
      <c r="S113" s="8" t="n"/>
      <c r="T113" s="9">
        <f>IF(M113="","",IF(OR(M113="Kauf abgeschlossen",M113="Verloren",M113="Warten auf Raum"),"o",IF(O113="","",IF(O113&lt;TODAY(),"!",IF(O113&lt;=TODAY()+1,"~","ok")))))</f>
        <v/>
      </c>
    </row>
    <row r="114" ht="20" customHeight="1">
      <c r="A114" s="4" t="n"/>
      <c r="B114" s="5" t="n"/>
      <c r="C114" s="4" t="n"/>
      <c r="D114" s="5" t="n"/>
      <c r="E114" s="5" t="n"/>
      <c r="F114" s="5" t="n"/>
      <c r="G114" s="5" t="n"/>
      <c r="H114" s="5" t="n"/>
      <c r="I114" s="4" t="n"/>
      <c r="J114" s="5" t="n"/>
      <c r="K114" s="4" t="n"/>
      <c r="L114" s="4" t="n"/>
      <c r="M114" s="5" t="n"/>
      <c r="N114" s="5" t="n"/>
      <c r="O114" s="4" t="n"/>
      <c r="P114" s="4" t="n"/>
      <c r="Q114" s="4" t="n"/>
      <c r="R114" s="5" t="n"/>
      <c r="S114" s="5" t="n"/>
      <c r="T114" s="6">
        <f>IF(M114="","",IF(OR(M114="Kauf abgeschlossen",M114="Verloren",M114="Warten auf Raum"),"o",IF(O114="","",IF(O114&lt;TODAY(),"!",IF(O114&lt;=TODAY()+1,"~","ok")))))</f>
        <v/>
      </c>
    </row>
    <row r="115" ht="20" customHeight="1">
      <c r="A115" s="7" t="n"/>
      <c r="B115" s="8" t="n"/>
      <c r="C115" s="7" t="n"/>
      <c r="D115" s="8" t="n"/>
      <c r="E115" s="8" t="n"/>
      <c r="F115" s="8" t="n"/>
      <c r="G115" s="8" t="n"/>
      <c r="H115" s="8" t="n"/>
      <c r="I115" s="7" t="n"/>
      <c r="J115" s="8" t="n"/>
      <c r="K115" s="7" t="n"/>
      <c r="L115" s="7" t="n"/>
      <c r="M115" s="8" t="n"/>
      <c r="N115" s="8" t="n"/>
      <c r="O115" s="7" t="n"/>
      <c r="P115" s="7" t="n"/>
      <c r="Q115" s="7" t="n"/>
      <c r="R115" s="8" t="n"/>
      <c r="S115" s="8" t="n"/>
      <c r="T115" s="9">
        <f>IF(M115="","",IF(OR(M115="Kauf abgeschlossen",M115="Verloren",M115="Warten auf Raum"),"o",IF(O115="","",IF(O115&lt;TODAY(),"!",IF(O115&lt;=TODAY()+1,"~","ok")))))</f>
        <v/>
      </c>
    </row>
    <row r="116" ht="20" customHeight="1">
      <c r="A116" s="4" t="n"/>
      <c r="B116" s="5" t="n"/>
      <c r="C116" s="4" t="n"/>
      <c r="D116" s="5" t="n"/>
      <c r="E116" s="5" t="n"/>
      <c r="F116" s="5" t="n"/>
      <c r="G116" s="5" t="n"/>
      <c r="H116" s="5" t="n"/>
      <c r="I116" s="4" t="n"/>
      <c r="J116" s="5" t="n"/>
      <c r="K116" s="4" t="n"/>
      <c r="L116" s="4" t="n"/>
      <c r="M116" s="5" t="n"/>
      <c r="N116" s="5" t="n"/>
      <c r="O116" s="4" t="n"/>
      <c r="P116" s="4" t="n"/>
      <c r="Q116" s="4" t="n"/>
      <c r="R116" s="5" t="n"/>
      <c r="S116" s="5" t="n"/>
      <c r="T116" s="6">
        <f>IF(M116="","",IF(OR(M116="Kauf abgeschlossen",M116="Verloren",M116="Warten auf Raum"),"o",IF(O116="","",IF(O116&lt;TODAY(),"!",IF(O116&lt;=TODAY()+1,"~","ok")))))</f>
        <v/>
      </c>
    </row>
    <row r="117" ht="20" customHeight="1">
      <c r="A117" s="7" t="n"/>
      <c r="B117" s="8" t="n"/>
      <c r="C117" s="7" t="n"/>
      <c r="D117" s="8" t="n"/>
      <c r="E117" s="8" t="n"/>
      <c r="F117" s="8" t="n"/>
      <c r="G117" s="8" t="n"/>
      <c r="H117" s="8" t="n"/>
      <c r="I117" s="7" t="n"/>
      <c r="J117" s="8" t="n"/>
      <c r="K117" s="7" t="n"/>
      <c r="L117" s="7" t="n"/>
      <c r="M117" s="8" t="n"/>
      <c r="N117" s="8" t="n"/>
      <c r="O117" s="7" t="n"/>
      <c r="P117" s="7" t="n"/>
      <c r="Q117" s="7" t="n"/>
      <c r="R117" s="8" t="n"/>
      <c r="S117" s="8" t="n"/>
      <c r="T117" s="9">
        <f>IF(M117="","",IF(OR(M117="Kauf abgeschlossen",M117="Verloren",M117="Warten auf Raum"),"o",IF(O117="","",IF(O117&lt;TODAY(),"!",IF(O117&lt;=TODAY()+1,"~","ok")))))</f>
        <v/>
      </c>
    </row>
    <row r="118" ht="20" customHeight="1">
      <c r="A118" s="4" t="n"/>
      <c r="B118" s="5" t="n"/>
      <c r="C118" s="4" t="n"/>
      <c r="D118" s="5" t="n"/>
      <c r="E118" s="5" t="n"/>
      <c r="F118" s="5" t="n"/>
      <c r="G118" s="5" t="n"/>
      <c r="H118" s="5" t="n"/>
      <c r="I118" s="4" t="n"/>
      <c r="J118" s="5" t="n"/>
      <c r="K118" s="4" t="n"/>
      <c r="L118" s="4" t="n"/>
      <c r="M118" s="5" t="n"/>
      <c r="N118" s="5" t="n"/>
      <c r="O118" s="4" t="n"/>
      <c r="P118" s="4" t="n"/>
      <c r="Q118" s="4" t="n"/>
      <c r="R118" s="5" t="n"/>
      <c r="S118" s="5" t="n"/>
      <c r="T118" s="6">
        <f>IF(M118="","",IF(OR(M118="Kauf abgeschlossen",M118="Verloren",M118="Warten auf Raum"),"o",IF(O118="","",IF(O118&lt;TODAY(),"!",IF(O118&lt;=TODAY()+1,"~","ok")))))</f>
        <v/>
      </c>
    </row>
    <row r="119" ht="20" customHeight="1">
      <c r="A119" s="7" t="n"/>
      <c r="B119" s="8" t="n"/>
      <c r="C119" s="7" t="n"/>
      <c r="D119" s="8" t="n"/>
      <c r="E119" s="8" t="n"/>
      <c r="F119" s="8" t="n"/>
      <c r="G119" s="8" t="n"/>
      <c r="H119" s="8" t="n"/>
      <c r="I119" s="7" t="n"/>
      <c r="J119" s="8" t="n"/>
      <c r="K119" s="7" t="n"/>
      <c r="L119" s="7" t="n"/>
      <c r="M119" s="8" t="n"/>
      <c r="N119" s="8" t="n"/>
      <c r="O119" s="7" t="n"/>
      <c r="P119" s="7" t="n"/>
      <c r="Q119" s="7" t="n"/>
      <c r="R119" s="8" t="n"/>
      <c r="S119" s="8" t="n"/>
      <c r="T119" s="9">
        <f>IF(M119="","",IF(OR(M119="Kauf abgeschlossen",M119="Verloren",M119="Warten auf Raum"),"o",IF(O119="","",IF(O119&lt;TODAY(),"!",IF(O119&lt;=TODAY()+1,"~","ok")))))</f>
        <v/>
      </c>
    </row>
    <row r="120" ht="20" customHeight="1">
      <c r="A120" s="4" t="n"/>
      <c r="B120" s="5" t="n"/>
      <c r="C120" s="4" t="n"/>
      <c r="D120" s="5" t="n"/>
      <c r="E120" s="5" t="n"/>
      <c r="F120" s="5" t="n"/>
      <c r="G120" s="5" t="n"/>
      <c r="H120" s="5" t="n"/>
      <c r="I120" s="4" t="n"/>
      <c r="J120" s="5" t="n"/>
      <c r="K120" s="4" t="n"/>
      <c r="L120" s="4" t="n"/>
      <c r="M120" s="5" t="n"/>
      <c r="N120" s="5" t="n"/>
      <c r="O120" s="4" t="n"/>
      <c r="P120" s="4" t="n"/>
      <c r="Q120" s="4" t="n"/>
      <c r="R120" s="5" t="n"/>
      <c r="S120" s="5" t="n"/>
      <c r="T120" s="6">
        <f>IF(M120="","",IF(OR(M120="Kauf abgeschlossen",M120="Verloren",M120="Warten auf Raum"),"o",IF(O120="","",IF(O120&lt;TODAY(),"!",IF(O120&lt;=TODAY()+1,"~","ok")))))</f>
        <v/>
      </c>
    </row>
    <row r="121" ht="20" customHeight="1">
      <c r="A121" s="7" t="n"/>
      <c r="B121" s="8" t="n"/>
      <c r="C121" s="7" t="n"/>
      <c r="D121" s="8" t="n"/>
      <c r="E121" s="8" t="n"/>
      <c r="F121" s="8" t="n"/>
      <c r="G121" s="8" t="n"/>
      <c r="H121" s="8" t="n"/>
      <c r="I121" s="7" t="n"/>
      <c r="J121" s="8" t="n"/>
      <c r="K121" s="7" t="n"/>
      <c r="L121" s="7" t="n"/>
      <c r="M121" s="8" t="n"/>
      <c r="N121" s="8" t="n"/>
      <c r="O121" s="7" t="n"/>
      <c r="P121" s="7" t="n"/>
      <c r="Q121" s="7" t="n"/>
      <c r="R121" s="8" t="n"/>
      <c r="S121" s="8" t="n"/>
      <c r="T121" s="9">
        <f>IF(M121="","",IF(OR(M121="Kauf abgeschlossen",M121="Verloren",M121="Warten auf Raum"),"o",IF(O121="","",IF(O121&lt;TODAY(),"!",IF(O121&lt;=TODAY()+1,"~","ok")))))</f>
        <v/>
      </c>
    </row>
    <row r="122" ht="20" customHeight="1">
      <c r="A122" s="4" t="n"/>
      <c r="B122" s="5" t="n"/>
      <c r="C122" s="4" t="n"/>
      <c r="D122" s="5" t="n"/>
      <c r="E122" s="5" t="n"/>
      <c r="F122" s="5" t="n"/>
      <c r="G122" s="5" t="n"/>
      <c r="H122" s="5" t="n"/>
      <c r="I122" s="4" t="n"/>
      <c r="J122" s="5" t="n"/>
      <c r="K122" s="4" t="n"/>
      <c r="L122" s="4" t="n"/>
      <c r="M122" s="5" t="n"/>
      <c r="N122" s="5" t="n"/>
      <c r="O122" s="4" t="n"/>
      <c r="P122" s="4" t="n"/>
      <c r="Q122" s="4" t="n"/>
      <c r="R122" s="5" t="n"/>
      <c r="S122" s="5" t="n"/>
      <c r="T122" s="6">
        <f>IF(M122="","",IF(OR(M122="Kauf abgeschlossen",M122="Verloren",M122="Warten auf Raum"),"o",IF(O122="","",IF(O122&lt;TODAY(),"!",IF(O122&lt;=TODAY()+1,"~","ok")))))</f>
        <v/>
      </c>
    </row>
    <row r="123" ht="20" customHeight="1">
      <c r="A123" s="7" t="n"/>
      <c r="B123" s="8" t="n"/>
      <c r="C123" s="7" t="n"/>
      <c r="D123" s="8" t="n"/>
      <c r="E123" s="8" t="n"/>
      <c r="F123" s="8" t="n"/>
      <c r="G123" s="8" t="n"/>
      <c r="H123" s="8" t="n"/>
      <c r="I123" s="7" t="n"/>
      <c r="J123" s="8" t="n"/>
      <c r="K123" s="7" t="n"/>
      <c r="L123" s="7" t="n"/>
      <c r="M123" s="8" t="n"/>
      <c r="N123" s="8" t="n"/>
      <c r="O123" s="7" t="n"/>
      <c r="P123" s="7" t="n"/>
      <c r="Q123" s="7" t="n"/>
      <c r="R123" s="8" t="n"/>
      <c r="S123" s="8" t="n"/>
      <c r="T123" s="9">
        <f>IF(M123="","",IF(OR(M123="Kauf abgeschlossen",M123="Verloren",M123="Warten auf Raum"),"o",IF(O123="","",IF(O123&lt;TODAY(),"!",IF(O123&lt;=TODAY()+1,"~","ok")))))</f>
        <v/>
      </c>
    </row>
    <row r="124" ht="20" customHeight="1">
      <c r="A124" s="4" t="n"/>
      <c r="B124" s="5" t="n"/>
      <c r="C124" s="4" t="n"/>
      <c r="D124" s="5" t="n"/>
      <c r="E124" s="5" t="n"/>
      <c r="F124" s="5" t="n"/>
      <c r="G124" s="5" t="n"/>
      <c r="H124" s="5" t="n"/>
      <c r="I124" s="4" t="n"/>
      <c r="J124" s="5" t="n"/>
      <c r="K124" s="4" t="n"/>
      <c r="L124" s="4" t="n"/>
      <c r="M124" s="5" t="n"/>
      <c r="N124" s="5" t="n"/>
      <c r="O124" s="4" t="n"/>
      <c r="P124" s="4" t="n"/>
      <c r="Q124" s="4" t="n"/>
      <c r="R124" s="5" t="n"/>
      <c r="S124" s="5" t="n"/>
      <c r="T124" s="6">
        <f>IF(M124="","",IF(OR(M124="Kauf abgeschlossen",M124="Verloren",M124="Warten auf Raum"),"o",IF(O124="","",IF(O124&lt;TODAY(),"!",IF(O124&lt;=TODAY()+1,"~","ok")))))</f>
        <v/>
      </c>
    </row>
    <row r="125" ht="20" customHeight="1">
      <c r="A125" s="7" t="n"/>
      <c r="B125" s="8" t="n"/>
      <c r="C125" s="7" t="n"/>
      <c r="D125" s="8" t="n"/>
      <c r="E125" s="8" t="n"/>
      <c r="F125" s="8" t="n"/>
      <c r="G125" s="8" t="n"/>
      <c r="H125" s="8" t="n"/>
      <c r="I125" s="7" t="n"/>
      <c r="J125" s="8" t="n"/>
      <c r="K125" s="7" t="n"/>
      <c r="L125" s="7" t="n"/>
      <c r="M125" s="8" t="n"/>
      <c r="N125" s="8" t="n"/>
      <c r="O125" s="7" t="n"/>
      <c r="P125" s="7" t="n"/>
      <c r="Q125" s="7" t="n"/>
      <c r="R125" s="8" t="n"/>
      <c r="S125" s="8" t="n"/>
      <c r="T125" s="9">
        <f>IF(M125="","",IF(OR(M125="Kauf abgeschlossen",M125="Verloren",M125="Warten auf Raum"),"o",IF(O125="","",IF(O125&lt;TODAY(),"!",IF(O125&lt;=TODAY()+1,"~","ok")))))</f>
        <v/>
      </c>
    </row>
    <row r="126" ht="20" customHeight="1">
      <c r="A126" s="4" t="n"/>
      <c r="B126" s="5" t="n"/>
      <c r="C126" s="4" t="n"/>
      <c r="D126" s="5" t="n"/>
      <c r="E126" s="5" t="n"/>
      <c r="F126" s="5" t="n"/>
      <c r="G126" s="5" t="n"/>
      <c r="H126" s="5" t="n"/>
      <c r="I126" s="4" t="n"/>
      <c r="J126" s="5" t="n"/>
      <c r="K126" s="4" t="n"/>
      <c r="L126" s="4" t="n"/>
      <c r="M126" s="5" t="n"/>
      <c r="N126" s="5" t="n"/>
      <c r="O126" s="4" t="n"/>
      <c r="P126" s="4" t="n"/>
      <c r="Q126" s="4" t="n"/>
      <c r="R126" s="5" t="n"/>
      <c r="S126" s="5" t="n"/>
      <c r="T126" s="6">
        <f>IF(M126="","",IF(OR(M126="Kauf abgeschlossen",M126="Verloren",M126="Warten auf Raum"),"o",IF(O126="","",IF(O126&lt;TODAY(),"!",IF(O126&lt;=TODAY()+1,"~","ok")))))</f>
        <v/>
      </c>
    </row>
    <row r="127" ht="20" customHeight="1">
      <c r="A127" s="7" t="n"/>
      <c r="B127" s="8" t="n"/>
      <c r="C127" s="7" t="n"/>
      <c r="D127" s="8" t="n"/>
      <c r="E127" s="8" t="n"/>
      <c r="F127" s="8" t="n"/>
      <c r="G127" s="8" t="n"/>
      <c r="H127" s="8" t="n"/>
      <c r="I127" s="7" t="n"/>
      <c r="J127" s="8" t="n"/>
      <c r="K127" s="7" t="n"/>
      <c r="L127" s="7" t="n"/>
      <c r="M127" s="8" t="n"/>
      <c r="N127" s="8" t="n"/>
      <c r="O127" s="7" t="n"/>
      <c r="P127" s="7" t="n"/>
      <c r="Q127" s="7" t="n"/>
      <c r="R127" s="8" t="n"/>
      <c r="S127" s="8" t="n"/>
      <c r="T127" s="9">
        <f>IF(M127="","",IF(OR(M127="Kauf abgeschlossen",M127="Verloren",M127="Warten auf Raum"),"o",IF(O127="","",IF(O127&lt;TODAY(),"!",IF(O127&lt;=TODAY()+1,"~","ok")))))</f>
        <v/>
      </c>
    </row>
    <row r="128" ht="20" customHeight="1">
      <c r="A128" s="4" t="n"/>
      <c r="B128" s="5" t="n"/>
      <c r="C128" s="4" t="n"/>
      <c r="D128" s="5" t="n"/>
      <c r="E128" s="5" t="n"/>
      <c r="F128" s="5" t="n"/>
      <c r="G128" s="5" t="n"/>
      <c r="H128" s="5" t="n"/>
      <c r="I128" s="4" t="n"/>
      <c r="J128" s="5" t="n"/>
      <c r="K128" s="4" t="n"/>
      <c r="L128" s="4" t="n"/>
      <c r="M128" s="5" t="n"/>
      <c r="N128" s="5" t="n"/>
      <c r="O128" s="4" t="n"/>
      <c r="P128" s="4" t="n"/>
      <c r="Q128" s="4" t="n"/>
      <c r="R128" s="5" t="n"/>
      <c r="S128" s="5" t="n"/>
      <c r="T128" s="6">
        <f>IF(M128="","",IF(OR(M128="Kauf abgeschlossen",M128="Verloren",M128="Warten auf Raum"),"o",IF(O128="","",IF(O128&lt;TODAY(),"!",IF(O128&lt;=TODAY()+1,"~","ok")))))</f>
        <v/>
      </c>
    </row>
    <row r="129" ht="20" customHeight="1">
      <c r="A129" s="7" t="n"/>
      <c r="B129" s="8" t="n"/>
      <c r="C129" s="7" t="n"/>
      <c r="D129" s="8" t="n"/>
      <c r="E129" s="8" t="n"/>
      <c r="F129" s="8" t="n"/>
      <c r="G129" s="8" t="n"/>
      <c r="H129" s="8" t="n"/>
      <c r="I129" s="7" t="n"/>
      <c r="J129" s="8" t="n"/>
      <c r="K129" s="7" t="n"/>
      <c r="L129" s="7" t="n"/>
      <c r="M129" s="8" t="n"/>
      <c r="N129" s="8" t="n"/>
      <c r="O129" s="7" t="n"/>
      <c r="P129" s="7" t="n"/>
      <c r="Q129" s="7" t="n"/>
      <c r="R129" s="8" t="n"/>
      <c r="S129" s="8" t="n"/>
      <c r="T129" s="9">
        <f>IF(M129="","",IF(OR(M129="Kauf abgeschlossen",M129="Verloren",M129="Warten auf Raum"),"o",IF(O129="","",IF(O129&lt;TODAY(),"!",IF(O129&lt;=TODAY()+1,"~","ok")))))</f>
        <v/>
      </c>
    </row>
    <row r="130" ht="20" customHeight="1">
      <c r="A130" s="4" t="n"/>
      <c r="B130" s="5" t="n"/>
      <c r="C130" s="4" t="n"/>
      <c r="D130" s="5" t="n"/>
      <c r="E130" s="5" t="n"/>
      <c r="F130" s="5" t="n"/>
      <c r="G130" s="5" t="n"/>
      <c r="H130" s="5" t="n"/>
      <c r="I130" s="4" t="n"/>
      <c r="J130" s="5" t="n"/>
      <c r="K130" s="4" t="n"/>
      <c r="L130" s="4" t="n"/>
      <c r="M130" s="5" t="n"/>
      <c r="N130" s="5" t="n"/>
      <c r="O130" s="4" t="n"/>
      <c r="P130" s="4" t="n"/>
      <c r="Q130" s="4" t="n"/>
      <c r="R130" s="5" t="n"/>
      <c r="S130" s="5" t="n"/>
      <c r="T130" s="6">
        <f>IF(M130="","",IF(OR(M130="Kauf abgeschlossen",M130="Verloren",M130="Warten auf Raum"),"o",IF(O130="","",IF(O130&lt;TODAY(),"!",IF(O130&lt;=TODAY()+1,"~","ok")))))</f>
        <v/>
      </c>
    </row>
    <row r="131" ht="20" customHeight="1">
      <c r="A131" s="7" t="n"/>
      <c r="B131" s="8" t="n"/>
      <c r="C131" s="7" t="n"/>
      <c r="D131" s="8" t="n"/>
      <c r="E131" s="8" t="n"/>
      <c r="F131" s="8" t="n"/>
      <c r="G131" s="8" t="n"/>
      <c r="H131" s="8" t="n"/>
      <c r="I131" s="7" t="n"/>
      <c r="J131" s="8" t="n"/>
      <c r="K131" s="7" t="n"/>
      <c r="L131" s="7" t="n"/>
      <c r="M131" s="8" t="n"/>
      <c r="N131" s="8" t="n"/>
      <c r="O131" s="7" t="n"/>
      <c r="P131" s="7" t="n"/>
      <c r="Q131" s="7" t="n"/>
      <c r="R131" s="8" t="n"/>
      <c r="S131" s="8" t="n"/>
      <c r="T131" s="9">
        <f>IF(M131="","",IF(OR(M131="Kauf abgeschlossen",M131="Verloren",M131="Warten auf Raum"),"o",IF(O131="","",IF(O131&lt;TODAY(),"!",IF(O131&lt;=TODAY()+1,"~","ok")))))</f>
        <v/>
      </c>
    </row>
    <row r="132" ht="20" customHeight="1">
      <c r="A132" s="4" t="n"/>
      <c r="B132" s="5" t="n"/>
      <c r="C132" s="4" t="n"/>
      <c r="D132" s="5" t="n"/>
      <c r="E132" s="5" t="n"/>
      <c r="F132" s="5" t="n"/>
      <c r="G132" s="5" t="n"/>
      <c r="H132" s="5" t="n"/>
      <c r="I132" s="4" t="n"/>
      <c r="J132" s="5" t="n"/>
      <c r="K132" s="4" t="n"/>
      <c r="L132" s="4" t="n"/>
      <c r="M132" s="5" t="n"/>
      <c r="N132" s="5" t="n"/>
      <c r="O132" s="4" t="n"/>
      <c r="P132" s="4" t="n"/>
      <c r="Q132" s="4" t="n"/>
      <c r="R132" s="5" t="n"/>
      <c r="S132" s="5" t="n"/>
      <c r="T132" s="6">
        <f>IF(M132="","",IF(OR(M132="Kauf abgeschlossen",M132="Verloren",M132="Warten auf Raum"),"o",IF(O132="","",IF(O132&lt;TODAY(),"!",IF(O132&lt;=TODAY()+1,"~","ok")))))</f>
        <v/>
      </c>
    </row>
    <row r="133" ht="20" customHeight="1">
      <c r="A133" s="7" t="n"/>
      <c r="B133" s="8" t="n"/>
      <c r="C133" s="7" t="n"/>
      <c r="D133" s="8" t="n"/>
      <c r="E133" s="8" t="n"/>
      <c r="F133" s="8" t="n"/>
      <c r="G133" s="8" t="n"/>
      <c r="H133" s="8" t="n"/>
      <c r="I133" s="7" t="n"/>
      <c r="J133" s="8" t="n"/>
      <c r="K133" s="7" t="n"/>
      <c r="L133" s="7" t="n"/>
      <c r="M133" s="8" t="n"/>
      <c r="N133" s="8" t="n"/>
      <c r="O133" s="7" t="n"/>
      <c r="P133" s="7" t="n"/>
      <c r="Q133" s="7" t="n"/>
      <c r="R133" s="8" t="n"/>
      <c r="S133" s="8" t="n"/>
      <c r="T133" s="9">
        <f>IF(M133="","",IF(OR(M133="Kauf abgeschlossen",M133="Verloren",M133="Warten auf Raum"),"o",IF(O133="","",IF(O133&lt;TODAY(),"!",IF(O133&lt;=TODAY()+1,"~","ok")))))</f>
        <v/>
      </c>
    </row>
    <row r="134" ht="20" customHeight="1">
      <c r="A134" s="4" t="n"/>
      <c r="B134" s="5" t="n"/>
      <c r="C134" s="4" t="n"/>
      <c r="D134" s="5" t="n"/>
      <c r="E134" s="5" t="n"/>
      <c r="F134" s="5" t="n"/>
      <c r="G134" s="5" t="n"/>
      <c r="H134" s="5" t="n"/>
      <c r="I134" s="4" t="n"/>
      <c r="J134" s="5" t="n"/>
      <c r="K134" s="4" t="n"/>
      <c r="L134" s="4" t="n"/>
      <c r="M134" s="5" t="n"/>
      <c r="N134" s="5" t="n"/>
      <c r="O134" s="4" t="n"/>
      <c r="P134" s="4" t="n"/>
      <c r="Q134" s="4" t="n"/>
      <c r="R134" s="5" t="n"/>
      <c r="S134" s="5" t="n"/>
      <c r="T134" s="6">
        <f>IF(M134="","",IF(OR(M134="Kauf abgeschlossen",M134="Verloren",M134="Warten auf Raum"),"o",IF(O134="","",IF(O134&lt;TODAY(),"!",IF(O134&lt;=TODAY()+1,"~","ok")))))</f>
        <v/>
      </c>
    </row>
    <row r="135" ht="20" customHeight="1">
      <c r="A135" s="7" t="n"/>
      <c r="B135" s="8" t="n"/>
      <c r="C135" s="7" t="n"/>
      <c r="D135" s="8" t="n"/>
      <c r="E135" s="8" t="n"/>
      <c r="F135" s="8" t="n"/>
      <c r="G135" s="8" t="n"/>
      <c r="H135" s="8" t="n"/>
      <c r="I135" s="7" t="n"/>
      <c r="J135" s="8" t="n"/>
      <c r="K135" s="7" t="n"/>
      <c r="L135" s="7" t="n"/>
      <c r="M135" s="8" t="n"/>
      <c r="N135" s="8" t="n"/>
      <c r="O135" s="7" t="n"/>
      <c r="P135" s="7" t="n"/>
      <c r="Q135" s="7" t="n"/>
      <c r="R135" s="8" t="n"/>
      <c r="S135" s="8" t="n"/>
      <c r="T135" s="9">
        <f>IF(M135="","",IF(OR(M135="Kauf abgeschlossen",M135="Verloren",M135="Warten auf Raum"),"o",IF(O135="","",IF(O135&lt;TODAY(),"!",IF(O135&lt;=TODAY()+1,"~","ok")))))</f>
        <v/>
      </c>
    </row>
    <row r="136" ht="20" customHeight="1">
      <c r="A136" s="4" t="n"/>
      <c r="B136" s="5" t="n"/>
      <c r="C136" s="4" t="n"/>
      <c r="D136" s="5" t="n"/>
      <c r="E136" s="5" t="n"/>
      <c r="F136" s="5" t="n"/>
      <c r="G136" s="5" t="n"/>
      <c r="H136" s="5" t="n"/>
      <c r="I136" s="4" t="n"/>
      <c r="J136" s="5" t="n"/>
      <c r="K136" s="4" t="n"/>
      <c r="L136" s="4" t="n"/>
      <c r="M136" s="5" t="n"/>
      <c r="N136" s="5" t="n"/>
      <c r="O136" s="4" t="n"/>
      <c r="P136" s="4" t="n"/>
      <c r="Q136" s="4" t="n"/>
      <c r="R136" s="5" t="n"/>
      <c r="S136" s="5" t="n"/>
      <c r="T136" s="6">
        <f>IF(M136="","",IF(OR(M136="Kauf abgeschlossen",M136="Verloren",M136="Warten auf Raum"),"o",IF(O136="","",IF(O136&lt;TODAY(),"!",IF(O136&lt;=TODAY()+1,"~","ok")))))</f>
        <v/>
      </c>
    </row>
    <row r="137" ht="20" customHeight="1">
      <c r="A137" s="7" t="n"/>
      <c r="B137" s="8" t="n"/>
      <c r="C137" s="7" t="n"/>
      <c r="D137" s="8" t="n"/>
      <c r="E137" s="8" t="n"/>
      <c r="F137" s="8" t="n"/>
      <c r="G137" s="8" t="n"/>
      <c r="H137" s="8" t="n"/>
      <c r="I137" s="7" t="n"/>
      <c r="J137" s="8" t="n"/>
      <c r="K137" s="7" t="n"/>
      <c r="L137" s="7" t="n"/>
      <c r="M137" s="8" t="n"/>
      <c r="N137" s="8" t="n"/>
      <c r="O137" s="7" t="n"/>
      <c r="P137" s="7" t="n"/>
      <c r="Q137" s="7" t="n"/>
      <c r="R137" s="8" t="n"/>
      <c r="S137" s="8" t="n"/>
      <c r="T137" s="9">
        <f>IF(M137="","",IF(OR(M137="Kauf abgeschlossen",M137="Verloren",M137="Warten auf Raum"),"o",IF(O137="","",IF(O137&lt;TODAY(),"!",IF(O137&lt;=TODAY()+1,"~","ok")))))</f>
        <v/>
      </c>
    </row>
    <row r="138" ht="20" customHeight="1">
      <c r="A138" s="4" t="n"/>
      <c r="B138" s="5" t="n"/>
      <c r="C138" s="4" t="n"/>
      <c r="D138" s="5" t="n"/>
      <c r="E138" s="5" t="n"/>
      <c r="F138" s="5" t="n"/>
      <c r="G138" s="5" t="n"/>
      <c r="H138" s="5" t="n"/>
      <c r="I138" s="4" t="n"/>
      <c r="J138" s="5" t="n"/>
      <c r="K138" s="4" t="n"/>
      <c r="L138" s="4" t="n"/>
      <c r="M138" s="5" t="n"/>
      <c r="N138" s="5" t="n"/>
      <c r="O138" s="4" t="n"/>
      <c r="P138" s="4" t="n"/>
      <c r="Q138" s="4" t="n"/>
      <c r="R138" s="5" t="n"/>
      <c r="S138" s="5" t="n"/>
      <c r="T138" s="6">
        <f>IF(M138="","",IF(OR(M138="Kauf abgeschlossen",M138="Verloren",M138="Warten auf Raum"),"o",IF(O138="","",IF(O138&lt;TODAY(),"!",IF(O138&lt;=TODAY()+1,"~","ok")))))</f>
        <v/>
      </c>
    </row>
    <row r="139" ht="20" customHeight="1">
      <c r="A139" s="7" t="n"/>
      <c r="B139" s="8" t="n"/>
      <c r="C139" s="7" t="n"/>
      <c r="D139" s="8" t="n"/>
      <c r="E139" s="8" t="n"/>
      <c r="F139" s="8" t="n"/>
      <c r="G139" s="8" t="n"/>
      <c r="H139" s="8" t="n"/>
      <c r="I139" s="7" t="n"/>
      <c r="J139" s="8" t="n"/>
      <c r="K139" s="7" t="n"/>
      <c r="L139" s="7" t="n"/>
      <c r="M139" s="8" t="n"/>
      <c r="N139" s="8" t="n"/>
      <c r="O139" s="7" t="n"/>
      <c r="P139" s="7" t="n"/>
      <c r="Q139" s="7" t="n"/>
      <c r="R139" s="8" t="n"/>
      <c r="S139" s="8" t="n"/>
      <c r="T139" s="9">
        <f>IF(M139="","",IF(OR(M139="Kauf abgeschlossen",M139="Verloren",M139="Warten auf Raum"),"o",IF(O139="","",IF(O139&lt;TODAY(),"!",IF(O139&lt;=TODAY()+1,"~","ok")))))</f>
        <v/>
      </c>
    </row>
    <row r="140" ht="20" customHeight="1">
      <c r="A140" s="4" t="n"/>
      <c r="B140" s="5" t="n"/>
      <c r="C140" s="4" t="n"/>
      <c r="D140" s="5" t="n"/>
      <c r="E140" s="5" t="n"/>
      <c r="F140" s="5" t="n"/>
      <c r="G140" s="5" t="n"/>
      <c r="H140" s="5" t="n"/>
      <c r="I140" s="4" t="n"/>
      <c r="J140" s="5" t="n"/>
      <c r="K140" s="4" t="n"/>
      <c r="L140" s="4" t="n"/>
      <c r="M140" s="5" t="n"/>
      <c r="N140" s="5" t="n"/>
      <c r="O140" s="4" t="n"/>
      <c r="P140" s="4" t="n"/>
      <c r="Q140" s="4" t="n"/>
      <c r="R140" s="5" t="n"/>
      <c r="S140" s="5" t="n"/>
      <c r="T140" s="6">
        <f>IF(M140="","",IF(OR(M140="Kauf abgeschlossen",M140="Verloren",M140="Warten auf Raum"),"o",IF(O140="","",IF(O140&lt;TODAY(),"!",IF(O140&lt;=TODAY()+1,"~","ok")))))</f>
        <v/>
      </c>
    </row>
    <row r="141" ht="20" customHeight="1">
      <c r="A141" s="7" t="n"/>
      <c r="B141" s="8" t="n"/>
      <c r="C141" s="7" t="n"/>
      <c r="D141" s="8" t="n"/>
      <c r="E141" s="8" t="n"/>
      <c r="F141" s="8" t="n"/>
      <c r="G141" s="8" t="n"/>
      <c r="H141" s="8" t="n"/>
      <c r="I141" s="7" t="n"/>
      <c r="J141" s="8" t="n"/>
      <c r="K141" s="7" t="n"/>
      <c r="L141" s="7" t="n"/>
      <c r="M141" s="8" t="n"/>
      <c r="N141" s="8" t="n"/>
      <c r="O141" s="7" t="n"/>
      <c r="P141" s="7" t="n"/>
      <c r="Q141" s="7" t="n"/>
      <c r="R141" s="8" t="n"/>
      <c r="S141" s="8" t="n"/>
      <c r="T141" s="9">
        <f>IF(M141="","",IF(OR(M141="Kauf abgeschlossen",M141="Verloren",M141="Warten auf Raum"),"o",IF(O141="","",IF(O141&lt;TODAY(),"!",IF(O141&lt;=TODAY()+1,"~","ok")))))</f>
        <v/>
      </c>
    </row>
    <row r="142" ht="20" customHeight="1">
      <c r="A142" s="4" t="n"/>
      <c r="B142" s="5" t="n"/>
      <c r="C142" s="4" t="n"/>
      <c r="D142" s="5" t="n"/>
      <c r="E142" s="5" t="n"/>
      <c r="F142" s="5" t="n"/>
      <c r="G142" s="5" t="n"/>
      <c r="H142" s="5" t="n"/>
      <c r="I142" s="4" t="n"/>
      <c r="J142" s="5" t="n"/>
      <c r="K142" s="4" t="n"/>
      <c r="L142" s="4" t="n"/>
      <c r="M142" s="5" t="n"/>
      <c r="N142" s="5" t="n"/>
      <c r="O142" s="4" t="n"/>
      <c r="P142" s="4" t="n"/>
      <c r="Q142" s="4" t="n"/>
      <c r="R142" s="5" t="n"/>
      <c r="S142" s="5" t="n"/>
      <c r="T142" s="6">
        <f>IF(M142="","",IF(OR(M142="Kauf abgeschlossen",M142="Verloren",M142="Warten auf Raum"),"o",IF(O142="","",IF(O142&lt;TODAY(),"!",IF(O142&lt;=TODAY()+1,"~","ok")))))</f>
        <v/>
      </c>
    </row>
    <row r="143" ht="20" customHeight="1">
      <c r="A143" s="7" t="n"/>
      <c r="B143" s="8" t="n"/>
      <c r="C143" s="7" t="n"/>
      <c r="D143" s="8" t="n"/>
      <c r="E143" s="8" t="n"/>
      <c r="F143" s="8" t="n"/>
      <c r="G143" s="8" t="n"/>
      <c r="H143" s="8" t="n"/>
      <c r="I143" s="7" t="n"/>
      <c r="J143" s="8" t="n"/>
      <c r="K143" s="7" t="n"/>
      <c r="L143" s="7" t="n"/>
      <c r="M143" s="8" t="n"/>
      <c r="N143" s="8" t="n"/>
      <c r="O143" s="7" t="n"/>
      <c r="P143" s="7" t="n"/>
      <c r="Q143" s="7" t="n"/>
      <c r="R143" s="8" t="n"/>
      <c r="S143" s="8" t="n"/>
      <c r="T143" s="9">
        <f>IF(M143="","",IF(OR(M143="Kauf abgeschlossen",M143="Verloren",M143="Warten auf Raum"),"o",IF(O143="","",IF(O143&lt;TODAY(),"!",IF(O143&lt;=TODAY()+1,"~","ok")))))</f>
        <v/>
      </c>
    </row>
    <row r="144" ht="20" customHeight="1">
      <c r="A144" s="4" t="n"/>
      <c r="B144" s="5" t="n"/>
      <c r="C144" s="4" t="n"/>
      <c r="D144" s="5" t="n"/>
      <c r="E144" s="5" t="n"/>
      <c r="F144" s="5" t="n"/>
      <c r="G144" s="5" t="n"/>
      <c r="H144" s="5" t="n"/>
      <c r="I144" s="4" t="n"/>
      <c r="J144" s="5" t="n"/>
      <c r="K144" s="4" t="n"/>
      <c r="L144" s="4" t="n"/>
      <c r="M144" s="5" t="n"/>
      <c r="N144" s="5" t="n"/>
      <c r="O144" s="4" t="n"/>
      <c r="P144" s="4" t="n"/>
      <c r="Q144" s="4" t="n"/>
      <c r="R144" s="5" t="n"/>
      <c r="S144" s="5" t="n"/>
      <c r="T144" s="6">
        <f>IF(M144="","",IF(OR(M144="Kauf abgeschlossen",M144="Verloren",M144="Warten auf Raum"),"o",IF(O144="","",IF(O144&lt;TODAY(),"!",IF(O144&lt;=TODAY()+1,"~","ok")))))</f>
        <v/>
      </c>
    </row>
    <row r="145" ht="20" customHeight="1">
      <c r="A145" s="7" t="n"/>
      <c r="B145" s="8" t="n"/>
      <c r="C145" s="7" t="n"/>
      <c r="D145" s="8" t="n"/>
      <c r="E145" s="8" t="n"/>
      <c r="F145" s="8" t="n"/>
      <c r="G145" s="8" t="n"/>
      <c r="H145" s="8" t="n"/>
      <c r="I145" s="7" t="n"/>
      <c r="J145" s="8" t="n"/>
      <c r="K145" s="7" t="n"/>
      <c r="L145" s="7" t="n"/>
      <c r="M145" s="8" t="n"/>
      <c r="N145" s="8" t="n"/>
      <c r="O145" s="7" t="n"/>
      <c r="P145" s="7" t="n"/>
      <c r="Q145" s="7" t="n"/>
      <c r="R145" s="8" t="n"/>
      <c r="S145" s="8" t="n"/>
      <c r="T145" s="9">
        <f>IF(M145="","",IF(OR(M145="Kauf abgeschlossen",M145="Verloren",M145="Warten auf Raum"),"o",IF(O145="","",IF(O145&lt;TODAY(),"!",IF(O145&lt;=TODAY()+1,"~","ok")))))</f>
        <v/>
      </c>
    </row>
    <row r="146" ht="20" customHeight="1">
      <c r="A146" s="4" t="n"/>
      <c r="B146" s="5" t="n"/>
      <c r="C146" s="4" t="n"/>
      <c r="D146" s="5" t="n"/>
      <c r="E146" s="5" t="n"/>
      <c r="F146" s="5" t="n"/>
      <c r="G146" s="5" t="n"/>
      <c r="H146" s="5" t="n"/>
      <c r="I146" s="4" t="n"/>
      <c r="J146" s="5" t="n"/>
      <c r="K146" s="4" t="n"/>
      <c r="L146" s="4" t="n"/>
      <c r="M146" s="5" t="n"/>
      <c r="N146" s="5" t="n"/>
      <c r="O146" s="4" t="n"/>
      <c r="P146" s="4" t="n"/>
      <c r="Q146" s="4" t="n"/>
      <c r="R146" s="5" t="n"/>
      <c r="S146" s="5" t="n"/>
      <c r="T146" s="6">
        <f>IF(M146="","",IF(OR(M146="Kauf abgeschlossen",M146="Verloren",M146="Warten auf Raum"),"o",IF(O146="","",IF(O146&lt;TODAY(),"!",IF(O146&lt;=TODAY()+1,"~","ok")))))</f>
        <v/>
      </c>
    </row>
    <row r="147" ht="20" customHeight="1">
      <c r="A147" s="7" t="n"/>
      <c r="B147" s="8" t="n"/>
      <c r="C147" s="7" t="n"/>
      <c r="D147" s="8" t="n"/>
      <c r="E147" s="8" t="n"/>
      <c r="F147" s="8" t="n"/>
      <c r="G147" s="8" t="n"/>
      <c r="H147" s="8" t="n"/>
      <c r="I147" s="7" t="n"/>
      <c r="J147" s="8" t="n"/>
      <c r="K147" s="7" t="n"/>
      <c r="L147" s="7" t="n"/>
      <c r="M147" s="8" t="n"/>
      <c r="N147" s="8" t="n"/>
      <c r="O147" s="7" t="n"/>
      <c r="P147" s="7" t="n"/>
      <c r="Q147" s="7" t="n"/>
      <c r="R147" s="8" t="n"/>
      <c r="S147" s="8" t="n"/>
      <c r="T147" s="9">
        <f>IF(M147="","",IF(OR(M147="Kauf abgeschlossen",M147="Verloren",M147="Warten auf Raum"),"o",IF(O147="","",IF(O147&lt;TODAY(),"!",IF(O147&lt;=TODAY()+1,"~","ok")))))</f>
        <v/>
      </c>
    </row>
    <row r="148" ht="20" customHeight="1">
      <c r="A148" s="4" t="n"/>
      <c r="B148" s="5" t="n"/>
      <c r="C148" s="4" t="n"/>
      <c r="D148" s="5" t="n"/>
      <c r="E148" s="5" t="n"/>
      <c r="F148" s="5" t="n"/>
      <c r="G148" s="5" t="n"/>
      <c r="H148" s="5" t="n"/>
      <c r="I148" s="4" t="n"/>
      <c r="J148" s="5" t="n"/>
      <c r="K148" s="4" t="n"/>
      <c r="L148" s="4" t="n"/>
      <c r="M148" s="5" t="n"/>
      <c r="N148" s="5" t="n"/>
      <c r="O148" s="4" t="n"/>
      <c r="P148" s="4" t="n"/>
      <c r="Q148" s="4" t="n"/>
      <c r="R148" s="5" t="n"/>
      <c r="S148" s="5" t="n"/>
      <c r="T148" s="6">
        <f>IF(M148="","",IF(OR(M148="Kauf abgeschlossen",M148="Verloren",M148="Warten auf Raum"),"o",IF(O148="","",IF(O148&lt;TODAY(),"!",IF(O148&lt;=TODAY()+1,"~","ok")))))</f>
        <v/>
      </c>
    </row>
    <row r="149" ht="20" customHeight="1">
      <c r="A149" s="7" t="n"/>
      <c r="B149" s="8" t="n"/>
      <c r="C149" s="7" t="n"/>
      <c r="D149" s="8" t="n"/>
      <c r="E149" s="8" t="n"/>
      <c r="F149" s="8" t="n"/>
      <c r="G149" s="8" t="n"/>
      <c r="H149" s="8" t="n"/>
      <c r="I149" s="7" t="n"/>
      <c r="J149" s="8" t="n"/>
      <c r="K149" s="7" t="n"/>
      <c r="L149" s="7" t="n"/>
      <c r="M149" s="8" t="n"/>
      <c r="N149" s="8" t="n"/>
      <c r="O149" s="7" t="n"/>
      <c r="P149" s="7" t="n"/>
      <c r="Q149" s="7" t="n"/>
      <c r="R149" s="8" t="n"/>
      <c r="S149" s="8" t="n"/>
      <c r="T149" s="9">
        <f>IF(M149="","",IF(OR(M149="Kauf abgeschlossen",M149="Verloren",M149="Warten auf Raum"),"o",IF(O149="","",IF(O149&lt;TODAY(),"!",IF(O149&lt;=TODAY()+1,"~","ok")))))</f>
        <v/>
      </c>
    </row>
    <row r="150" ht="20" customHeight="1">
      <c r="A150" s="4" t="n"/>
      <c r="B150" s="5" t="n"/>
      <c r="C150" s="4" t="n"/>
      <c r="D150" s="5" t="n"/>
      <c r="E150" s="5" t="n"/>
      <c r="F150" s="5" t="n"/>
      <c r="G150" s="5" t="n"/>
      <c r="H150" s="5" t="n"/>
      <c r="I150" s="4" t="n"/>
      <c r="J150" s="5" t="n"/>
      <c r="K150" s="4" t="n"/>
      <c r="L150" s="4" t="n"/>
      <c r="M150" s="5" t="n"/>
      <c r="N150" s="5" t="n"/>
      <c r="O150" s="4" t="n"/>
      <c r="P150" s="4" t="n"/>
      <c r="Q150" s="4" t="n"/>
      <c r="R150" s="5" t="n"/>
      <c r="S150" s="5" t="n"/>
      <c r="T150" s="6">
        <f>IF(M150="","",IF(OR(M150="Kauf abgeschlossen",M150="Verloren",M150="Warten auf Raum"),"o",IF(O150="","",IF(O150&lt;TODAY(),"!",IF(O150&lt;=TODAY()+1,"~","ok")))))</f>
        <v/>
      </c>
    </row>
    <row r="151" ht="20" customHeight="1">
      <c r="A151" s="7" t="n"/>
      <c r="B151" s="8" t="n"/>
      <c r="C151" s="7" t="n"/>
      <c r="D151" s="8" t="n"/>
      <c r="E151" s="8" t="n"/>
      <c r="F151" s="8" t="n"/>
      <c r="G151" s="8" t="n"/>
      <c r="H151" s="8" t="n"/>
      <c r="I151" s="7" t="n"/>
      <c r="J151" s="8" t="n"/>
      <c r="K151" s="7" t="n"/>
      <c r="L151" s="7" t="n"/>
      <c r="M151" s="8" t="n"/>
      <c r="N151" s="8" t="n"/>
      <c r="O151" s="7" t="n"/>
      <c r="P151" s="7" t="n"/>
      <c r="Q151" s="7" t="n"/>
      <c r="R151" s="8" t="n"/>
      <c r="S151" s="8" t="n"/>
      <c r="T151" s="9">
        <f>IF(M151="","",IF(OR(M151="Kauf abgeschlossen",M151="Verloren",M151="Warten auf Raum"),"o",IF(O151="","",IF(O151&lt;TODAY(),"!",IF(O151&lt;=TODAY()+1,"~","ok")))))</f>
        <v/>
      </c>
    </row>
    <row r="152" ht="20" customHeight="1">
      <c r="A152" s="4" t="n"/>
      <c r="B152" s="5" t="n"/>
      <c r="C152" s="4" t="n"/>
      <c r="D152" s="5" t="n"/>
      <c r="E152" s="5" t="n"/>
      <c r="F152" s="5" t="n"/>
      <c r="G152" s="5" t="n"/>
      <c r="H152" s="5" t="n"/>
      <c r="I152" s="4" t="n"/>
      <c r="J152" s="5" t="n"/>
      <c r="K152" s="4" t="n"/>
      <c r="L152" s="4" t="n"/>
      <c r="M152" s="5" t="n"/>
      <c r="N152" s="5" t="n"/>
      <c r="O152" s="4" t="n"/>
      <c r="P152" s="4" t="n"/>
      <c r="Q152" s="4" t="n"/>
      <c r="R152" s="5" t="n"/>
      <c r="S152" s="5" t="n"/>
      <c r="T152" s="6">
        <f>IF(M152="","",IF(OR(M152="Kauf abgeschlossen",M152="Verloren",M152="Warten auf Raum"),"o",IF(O152="","",IF(O152&lt;TODAY(),"!",IF(O152&lt;=TODAY()+1,"~","ok")))))</f>
        <v/>
      </c>
    </row>
    <row r="153" ht="20" customHeight="1">
      <c r="A153" s="7" t="n"/>
      <c r="B153" s="8" t="n"/>
      <c r="C153" s="7" t="n"/>
      <c r="D153" s="8" t="n"/>
      <c r="E153" s="8" t="n"/>
      <c r="F153" s="8" t="n"/>
      <c r="G153" s="8" t="n"/>
      <c r="H153" s="8" t="n"/>
      <c r="I153" s="7" t="n"/>
      <c r="J153" s="8" t="n"/>
      <c r="K153" s="7" t="n"/>
      <c r="L153" s="7" t="n"/>
      <c r="M153" s="8" t="n"/>
      <c r="N153" s="8" t="n"/>
      <c r="O153" s="7" t="n"/>
      <c r="P153" s="7" t="n"/>
      <c r="Q153" s="7" t="n"/>
      <c r="R153" s="8" t="n"/>
      <c r="S153" s="8" t="n"/>
      <c r="T153" s="9">
        <f>IF(M153="","",IF(OR(M153="Kauf abgeschlossen",M153="Verloren",M153="Warten auf Raum"),"o",IF(O153="","",IF(O153&lt;TODAY(),"!",IF(O153&lt;=TODAY()+1,"~","ok")))))</f>
        <v/>
      </c>
    </row>
    <row r="154" ht="20" customHeight="1">
      <c r="A154" s="4" t="n"/>
      <c r="B154" s="5" t="n"/>
      <c r="C154" s="4" t="n"/>
      <c r="D154" s="5" t="n"/>
      <c r="E154" s="5" t="n"/>
      <c r="F154" s="5" t="n"/>
      <c r="G154" s="5" t="n"/>
      <c r="H154" s="5" t="n"/>
      <c r="I154" s="4" t="n"/>
      <c r="J154" s="5" t="n"/>
      <c r="K154" s="4" t="n"/>
      <c r="L154" s="4" t="n"/>
      <c r="M154" s="5" t="n"/>
      <c r="N154" s="5" t="n"/>
      <c r="O154" s="4" t="n"/>
      <c r="P154" s="4" t="n"/>
      <c r="Q154" s="4" t="n"/>
      <c r="R154" s="5" t="n"/>
      <c r="S154" s="5" t="n"/>
      <c r="T154" s="6">
        <f>IF(M154="","",IF(OR(M154="Kauf abgeschlossen",M154="Verloren",M154="Warten auf Raum"),"o",IF(O154="","",IF(O154&lt;TODAY(),"!",IF(O154&lt;=TODAY()+1,"~","ok")))))</f>
        <v/>
      </c>
    </row>
    <row r="155" ht="20" customHeight="1">
      <c r="A155" s="7" t="n"/>
      <c r="B155" s="8" t="n"/>
      <c r="C155" s="7" t="n"/>
      <c r="D155" s="8" t="n"/>
      <c r="E155" s="8" t="n"/>
      <c r="F155" s="8" t="n"/>
      <c r="G155" s="8" t="n"/>
      <c r="H155" s="8" t="n"/>
      <c r="I155" s="7" t="n"/>
      <c r="J155" s="8" t="n"/>
      <c r="K155" s="7" t="n"/>
      <c r="L155" s="7" t="n"/>
      <c r="M155" s="8" t="n"/>
      <c r="N155" s="8" t="n"/>
      <c r="O155" s="7" t="n"/>
      <c r="P155" s="7" t="n"/>
      <c r="Q155" s="7" t="n"/>
      <c r="R155" s="8" t="n"/>
      <c r="S155" s="8" t="n"/>
      <c r="T155" s="9">
        <f>IF(M155="","",IF(OR(M155="Kauf abgeschlossen",M155="Verloren",M155="Warten auf Raum"),"o",IF(O155="","",IF(O155&lt;TODAY(),"!",IF(O155&lt;=TODAY()+1,"~","ok")))))</f>
        <v/>
      </c>
    </row>
    <row r="156" ht="20" customHeight="1">
      <c r="A156" s="4" t="n"/>
      <c r="B156" s="5" t="n"/>
      <c r="C156" s="4" t="n"/>
      <c r="D156" s="5" t="n"/>
      <c r="E156" s="5" t="n"/>
      <c r="F156" s="5" t="n"/>
      <c r="G156" s="5" t="n"/>
      <c r="H156" s="5" t="n"/>
      <c r="I156" s="4" t="n"/>
      <c r="J156" s="5" t="n"/>
      <c r="K156" s="4" t="n"/>
      <c r="L156" s="4" t="n"/>
      <c r="M156" s="5" t="n"/>
      <c r="N156" s="5" t="n"/>
      <c r="O156" s="4" t="n"/>
      <c r="P156" s="4" t="n"/>
      <c r="Q156" s="4" t="n"/>
      <c r="R156" s="5" t="n"/>
      <c r="S156" s="5" t="n"/>
      <c r="T156" s="6">
        <f>IF(M156="","",IF(OR(M156="Kauf abgeschlossen",M156="Verloren",M156="Warten auf Raum"),"o",IF(O156="","",IF(O156&lt;TODAY(),"!",IF(O156&lt;=TODAY()+1,"~","ok")))))</f>
        <v/>
      </c>
    </row>
    <row r="157" ht="20" customHeight="1">
      <c r="A157" s="7" t="n"/>
      <c r="B157" s="8" t="n"/>
      <c r="C157" s="7" t="n"/>
      <c r="D157" s="8" t="n"/>
      <c r="E157" s="8" t="n"/>
      <c r="F157" s="8" t="n"/>
      <c r="G157" s="8" t="n"/>
      <c r="H157" s="8" t="n"/>
      <c r="I157" s="7" t="n"/>
      <c r="J157" s="8" t="n"/>
      <c r="K157" s="7" t="n"/>
      <c r="L157" s="7" t="n"/>
      <c r="M157" s="8" t="n"/>
      <c r="N157" s="8" t="n"/>
      <c r="O157" s="7" t="n"/>
      <c r="P157" s="7" t="n"/>
      <c r="Q157" s="7" t="n"/>
      <c r="R157" s="8" t="n"/>
      <c r="S157" s="8" t="n"/>
      <c r="T157" s="9">
        <f>IF(M157="","",IF(OR(M157="Kauf abgeschlossen",M157="Verloren",M157="Warten auf Raum"),"o",IF(O157="","",IF(O157&lt;TODAY(),"!",IF(O157&lt;=TODAY()+1,"~","ok")))))</f>
        <v/>
      </c>
    </row>
    <row r="158" ht="20" customHeight="1">
      <c r="A158" s="4" t="n"/>
      <c r="B158" s="5" t="n"/>
      <c r="C158" s="4" t="n"/>
      <c r="D158" s="5" t="n"/>
      <c r="E158" s="5" t="n"/>
      <c r="F158" s="5" t="n"/>
      <c r="G158" s="5" t="n"/>
      <c r="H158" s="5" t="n"/>
      <c r="I158" s="4" t="n"/>
      <c r="J158" s="5" t="n"/>
      <c r="K158" s="4" t="n"/>
      <c r="L158" s="4" t="n"/>
      <c r="M158" s="5" t="n"/>
      <c r="N158" s="5" t="n"/>
      <c r="O158" s="4" t="n"/>
      <c r="P158" s="4" t="n"/>
      <c r="Q158" s="4" t="n"/>
      <c r="R158" s="5" t="n"/>
      <c r="S158" s="5" t="n"/>
      <c r="T158" s="6">
        <f>IF(M158="","",IF(OR(M158="Kauf abgeschlossen",M158="Verloren",M158="Warten auf Raum"),"o",IF(O158="","",IF(O158&lt;TODAY(),"!",IF(O158&lt;=TODAY()+1,"~","ok")))))</f>
        <v/>
      </c>
    </row>
    <row r="159" ht="20" customHeight="1">
      <c r="A159" s="7" t="n"/>
      <c r="B159" s="8" t="n"/>
      <c r="C159" s="7" t="n"/>
      <c r="D159" s="8" t="n"/>
      <c r="E159" s="8" t="n"/>
      <c r="F159" s="8" t="n"/>
      <c r="G159" s="8" t="n"/>
      <c r="H159" s="8" t="n"/>
      <c r="I159" s="7" t="n"/>
      <c r="J159" s="8" t="n"/>
      <c r="K159" s="7" t="n"/>
      <c r="L159" s="7" t="n"/>
      <c r="M159" s="8" t="n"/>
      <c r="N159" s="8" t="n"/>
      <c r="O159" s="7" t="n"/>
      <c r="P159" s="7" t="n"/>
      <c r="Q159" s="7" t="n"/>
      <c r="R159" s="8" t="n"/>
      <c r="S159" s="8" t="n"/>
      <c r="T159" s="9">
        <f>IF(M159="","",IF(OR(M159="Kauf abgeschlossen",M159="Verloren",M159="Warten auf Raum"),"o",IF(O159="","",IF(O159&lt;TODAY(),"!",IF(O159&lt;=TODAY()+1,"~","ok")))))</f>
        <v/>
      </c>
    </row>
    <row r="160" ht="20" customHeight="1">
      <c r="A160" s="4" t="n"/>
      <c r="B160" s="5" t="n"/>
      <c r="C160" s="4" t="n"/>
      <c r="D160" s="5" t="n"/>
      <c r="E160" s="5" t="n"/>
      <c r="F160" s="5" t="n"/>
      <c r="G160" s="5" t="n"/>
      <c r="H160" s="5" t="n"/>
      <c r="I160" s="4" t="n"/>
      <c r="J160" s="5" t="n"/>
      <c r="K160" s="4" t="n"/>
      <c r="L160" s="4" t="n"/>
      <c r="M160" s="5" t="n"/>
      <c r="N160" s="5" t="n"/>
      <c r="O160" s="4" t="n"/>
      <c r="P160" s="4" t="n"/>
      <c r="Q160" s="4" t="n"/>
      <c r="R160" s="5" t="n"/>
      <c r="S160" s="5" t="n"/>
      <c r="T160" s="6">
        <f>IF(M160="","",IF(OR(M160="Kauf abgeschlossen",M160="Verloren",M160="Warten auf Raum"),"o",IF(O160="","",IF(O160&lt;TODAY(),"!",IF(O160&lt;=TODAY()+1,"~","ok")))))</f>
        <v/>
      </c>
    </row>
    <row r="161" ht="20" customHeight="1">
      <c r="A161" s="7" t="n"/>
      <c r="B161" s="8" t="n"/>
      <c r="C161" s="7" t="n"/>
      <c r="D161" s="8" t="n"/>
      <c r="E161" s="8" t="n"/>
      <c r="F161" s="8" t="n"/>
      <c r="G161" s="8" t="n"/>
      <c r="H161" s="8" t="n"/>
      <c r="I161" s="7" t="n"/>
      <c r="J161" s="8" t="n"/>
      <c r="K161" s="7" t="n"/>
      <c r="L161" s="7" t="n"/>
      <c r="M161" s="8" t="n"/>
      <c r="N161" s="8" t="n"/>
      <c r="O161" s="7" t="n"/>
      <c r="P161" s="7" t="n"/>
      <c r="Q161" s="7" t="n"/>
      <c r="R161" s="8" t="n"/>
      <c r="S161" s="8" t="n"/>
      <c r="T161" s="9">
        <f>IF(M161="","",IF(OR(M161="Kauf abgeschlossen",M161="Verloren",M161="Warten auf Raum"),"o",IF(O161="","",IF(O161&lt;TODAY(),"!",IF(O161&lt;=TODAY()+1,"~","ok")))))</f>
        <v/>
      </c>
    </row>
    <row r="162" ht="20" customHeight="1">
      <c r="A162" s="4" t="n"/>
      <c r="B162" s="5" t="n"/>
      <c r="C162" s="4" t="n"/>
      <c r="D162" s="5" t="n"/>
      <c r="E162" s="5" t="n"/>
      <c r="F162" s="5" t="n"/>
      <c r="G162" s="5" t="n"/>
      <c r="H162" s="5" t="n"/>
      <c r="I162" s="4" t="n"/>
      <c r="J162" s="5" t="n"/>
      <c r="K162" s="4" t="n"/>
      <c r="L162" s="4" t="n"/>
      <c r="M162" s="5" t="n"/>
      <c r="N162" s="5" t="n"/>
      <c r="O162" s="4" t="n"/>
      <c r="P162" s="4" t="n"/>
      <c r="Q162" s="4" t="n"/>
      <c r="R162" s="5" t="n"/>
      <c r="S162" s="5" t="n"/>
      <c r="T162" s="6">
        <f>IF(M162="","",IF(OR(M162="Kauf abgeschlossen",M162="Verloren",M162="Warten auf Raum"),"o",IF(O162="","",IF(O162&lt;TODAY(),"!",IF(O162&lt;=TODAY()+1,"~","ok")))))</f>
        <v/>
      </c>
    </row>
    <row r="163" ht="20" customHeight="1">
      <c r="A163" s="7" t="n"/>
      <c r="B163" s="8" t="n"/>
      <c r="C163" s="7" t="n"/>
      <c r="D163" s="8" t="n"/>
      <c r="E163" s="8" t="n"/>
      <c r="F163" s="8" t="n"/>
      <c r="G163" s="8" t="n"/>
      <c r="H163" s="8" t="n"/>
      <c r="I163" s="7" t="n"/>
      <c r="J163" s="8" t="n"/>
      <c r="K163" s="7" t="n"/>
      <c r="L163" s="7" t="n"/>
      <c r="M163" s="8" t="n"/>
      <c r="N163" s="8" t="n"/>
      <c r="O163" s="7" t="n"/>
      <c r="P163" s="7" t="n"/>
      <c r="Q163" s="7" t="n"/>
      <c r="R163" s="8" t="n"/>
      <c r="S163" s="8" t="n"/>
      <c r="T163" s="9">
        <f>IF(M163="","",IF(OR(M163="Kauf abgeschlossen",M163="Verloren",M163="Warten auf Raum"),"o",IF(O163="","",IF(O163&lt;TODAY(),"!",IF(O163&lt;=TODAY()+1,"~","ok")))))</f>
        <v/>
      </c>
    </row>
    <row r="164" ht="20" customHeight="1">
      <c r="A164" s="4" t="n"/>
      <c r="B164" s="5" t="n"/>
      <c r="C164" s="4" t="n"/>
      <c r="D164" s="5" t="n"/>
      <c r="E164" s="5" t="n"/>
      <c r="F164" s="5" t="n"/>
      <c r="G164" s="5" t="n"/>
      <c r="H164" s="5" t="n"/>
      <c r="I164" s="4" t="n"/>
      <c r="J164" s="5" t="n"/>
      <c r="K164" s="4" t="n"/>
      <c r="L164" s="4" t="n"/>
      <c r="M164" s="5" t="n"/>
      <c r="N164" s="5" t="n"/>
      <c r="O164" s="4" t="n"/>
      <c r="P164" s="4" t="n"/>
      <c r="Q164" s="4" t="n"/>
      <c r="R164" s="5" t="n"/>
      <c r="S164" s="5" t="n"/>
      <c r="T164" s="6">
        <f>IF(M164="","",IF(OR(M164="Kauf abgeschlossen",M164="Verloren",M164="Warten auf Raum"),"o",IF(O164="","",IF(O164&lt;TODAY(),"!",IF(O164&lt;=TODAY()+1,"~","ok")))))</f>
        <v/>
      </c>
    </row>
    <row r="165" ht="20" customHeight="1">
      <c r="A165" s="7" t="n"/>
      <c r="B165" s="8" t="n"/>
      <c r="C165" s="7" t="n"/>
      <c r="D165" s="8" t="n"/>
      <c r="E165" s="8" t="n"/>
      <c r="F165" s="8" t="n"/>
      <c r="G165" s="8" t="n"/>
      <c r="H165" s="8" t="n"/>
      <c r="I165" s="7" t="n"/>
      <c r="J165" s="8" t="n"/>
      <c r="K165" s="7" t="n"/>
      <c r="L165" s="7" t="n"/>
      <c r="M165" s="8" t="n"/>
      <c r="N165" s="8" t="n"/>
      <c r="O165" s="7" t="n"/>
      <c r="P165" s="7" t="n"/>
      <c r="Q165" s="7" t="n"/>
      <c r="R165" s="8" t="n"/>
      <c r="S165" s="8" t="n"/>
      <c r="T165" s="9">
        <f>IF(M165="","",IF(OR(M165="Kauf abgeschlossen",M165="Verloren",M165="Warten auf Raum"),"o",IF(O165="","",IF(O165&lt;TODAY(),"!",IF(O165&lt;=TODAY()+1,"~","ok")))))</f>
        <v/>
      </c>
    </row>
    <row r="166" ht="20" customHeight="1">
      <c r="A166" s="4" t="n"/>
      <c r="B166" s="5" t="n"/>
      <c r="C166" s="4" t="n"/>
      <c r="D166" s="5" t="n"/>
      <c r="E166" s="5" t="n"/>
      <c r="F166" s="5" t="n"/>
      <c r="G166" s="5" t="n"/>
      <c r="H166" s="5" t="n"/>
      <c r="I166" s="4" t="n"/>
      <c r="J166" s="5" t="n"/>
      <c r="K166" s="4" t="n"/>
      <c r="L166" s="4" t="n"/>
      <c r="M166" s="5" t="n"/>
      <c r="N166" s="5" t="n"/>
      <c r="O166" s="4" t="n"/>
      <c r="P166" s="4" t="n"/>
      <c r="Q166" s="4" t="n"/>
      <c r="R166" s="5" t="n"/>
      <c r="S166" s="5" t="n"/>
      <c r="T166" s="6">
        <f>IF(M166="","",IF(OR(M166="Kauf abgeschlossen",M166="Verloren",M166="Warten auf Raum"),"o",IF(O166="","",IF(O166&lt;TODAY(),"!",IF(O166&lt;=TODAY()+1,"~","ok")))))</f>
        <v/>
      </c>
    </row>
    <row r="167" ht="20" customHeight="1">
      <c r="A167" s="7" t="n"/>
      <c r="B167" s="8" t="n"/>
      <c r="C167" s="7" t="n"/>
      <c r="D167" s="8" t="n"/>
      <c r="E167" s="8" t="n"/>
      <c r="F167" s="8" t="n"/>
      <c r="G167" s="8" t="n"/>
      <c r="H167" s="8" t="n"/>
      <c r="I167" s="7" t="n"/>
      <c r="J167" s="8" t="n"/>
      <c r="K167" s="7" t="n"/>
      <c r="L167" s="7" t="n"/>
      <c r="M167" s="8" t="n"/>
      <c r="N167" s="8" t="n"/>
      <c r="O167" s="7" t="n"/>
      <c r="P167" s="7" t="n"/>
      <c r="Q167" s="7" t="n"/>
      <c r="R167" s="8" t="n"/>
      <c r="S167" s="8" t="n"/>
      <c r="T167" s="9">
        <f>IF(M167="","",IF(OR(M167="Kauf abgeschlossen",M167="Verloren",M167="Warten auf Raum"),"o",IF(O167="","",IF(O167&lt;TODAY(),"!",IF(O167&lt;=TODAY()+1,"~","ok")))))</f>
        <v/>
      </c>
    </row>
    <row r="168" ht="20" customHeight="1">
      <c r="A168" s="4" t="n"/>
      <c r="B168" s="5" t="n"/>
      <c r="C168" s="4" t="n"/>
      <c r="D168" s="5" t="n"/>
      <c r="E168" s="5" t="n"/>
      <c r="F168" s="5" t="n"/>
      <c r="G168" s="5" t="n"/>
      <c r="H168" s="5" t="n"/>
      <c r="I168" s="4" t="n"/>
      <c r="J168" s="5" t="n"/>
      <c r="K168" s="4" t="n"/>
      <c r="L168" s="4" t="n"/>
      <c r="M168" s="5" t="n"/>
      <c r="N168" s="5" t="n"/>
      <c r="O168" s="4" t="n"/>
      <c r="P168" s="4" t="n"/>
      <c r="Q168" s="4" t="n"/>
      <c r="R168" s="5" t="n"/>
      <c r="S168" s="5" t="n"/>
      <c r="T168" s="6">
        <f>IF(M168="","",IF(OR(M168="Kauf abgeschlossen",M168="Verloren",M168="Warten auf Raum"),"o",IF(O168="","",IF(O168&lt;TODAY(),"!",IF(O168&lt;=TODAY()+1,"~","ok")))))</f>
        <v/>
      </c>
    </row>
    <row r="169" ht="20" customHeight="1">
      <c r="A169" s="7" t="n"/>
      <c r="B169" s="8" t="n"/>
      <c r="C169" s="7" t="n"/>
      <c r="D169" s="8" t="n"/>
      <c r="E169" s="8" t="n"/>
      <c r="F169" s="8" t="n"/>
      <c r="G169" s="8" t="n"/>
      <c r="H169" s="8" t="n"/>
      <c r="I169" s="7" t="n"/>
      <c r="J169" s="8" t="n"/>
      <c r="K169" s="7" t="n"/>
      <c r="L169" s="7" t="n"/>
      <c r="M169" s="8" t="n"/>
      <c r="N169" s="8" t="n"/>
      <c r="O169" s="7" t="n"/>
      <c r="P169" s="7" t="n"/>
      <c r="Q169" s="7" t="n"/>
      <c r="R169" s="8" t="n"/>
      <c r="S169" s="8" t="n"/>
      <c r="T169" s="9">
        <f>IF(M169="","",IF(OR(M169="Kauf abgeschlossen",M169="Verloren",M169="Warten auf Raum"),"o",IF(O169="","",IF(O169&lt;TODAY(),"!",IF(O169&lt;=TODAY()+1,"~","ok")))))</f>
        <v/>
      </c>
    </row>
    <row r="170" ht="20" customHeight="1">
      <c r="A170" s="4" t="n"/>
      <c r="B170" s="5" t="n"/>
      <c r="C170" s="4" t="n"/>
      <c r="D170" s="5" t="n"/>
      <c r="E170" s="5" t="n"/>
      <c r="F170" s="5" t="n"/>
      <c r="G170" s="5" t="n"/>
      <c r="H170" s="5" t="n"/>
      <c r="I170" s="4" t="n"/>
      <c r="J170" s="5" t="n"/>
      <c r="K170" s="4" t="n"/>
      <c r="L170" s="4" t="n"/>
      <c r="M170" s="5" t="n"/>
      <c r="N170" s="5" t="n"/>
      <c r="O170" s="4" t="n"/>
      <c r="P170" s="4" t="n"/>
      <c r="Q170" s="4" t="n"/>
      <c r="R170" s="5" t="n"/>
      <c r="S170" s="5" t="n"/>
      <c r="T170" s="6">
        <f>IF(M170="","",IF(OR(M170="Kauf abgeschlossen",M170="Verloren",M170="Warten auf Raum"),"o",IF(O170="","",IF(O170&lt;TODAY(),"!",IF(O170&lt;=TODAY()+1,"~","ok")))))</f>
        <v/>
      </c>
    </row>
    <row r="171" ht="20" customHeight="1">
      <c r="A171" s="7" t="n"/>
      <c r="B171" s="8" t="n"/>
      <c r="C171" s="7" t="n"/>
      <c r="D171" s="8" t="n"/>
      <c r="E171" s="8" t="n"/>
      <c r="F171" s="8" t="n"/>
      <c r="G171" s="8" t="n"/>
      <c r="H171" s="8" t="n"/>
      <c r="I171" s="7" t="n"/>
      <c r="J171" s="8" t="n"/>
      <c r="K171" s="7" t="n"/>
      <c r="L171" s="7" t="n"/>
      <c r="M171" s="8" t="n"/>
      <c r="N171" s="8" t="n"/>
      <c r="O171" s="7" t="n"/>
      <c r="P171" s="7" t="n"/>
      <c r="Q171" s="7" t="n"/>
      <c r="R171" s="8" t="n"/>
      <c r="S171" s="8" t="n"/>
      <c r="T171" s="9">
        <f>IF(M171="","",IF(OR(M171="Kauf abgeschlossen",M171="Verloren",M171="Warten auf Raum"),"o",IF(O171="","",IF(O171&lt;TODAY(),"!",IF(O171&lt;=TODAY()+1,"~","ok")))))</f>
        <v/>
      </c>
    </row>
    <row r="172" ht="20" customHeight="1">
      <c r="A172" s="4" t="n"/>
      <c r="B172" s="5" t="n"/>
      <c r="C172" s="4" t="n"/>
      <c r="D172" s="5" t="n"/>
      <c r="E172" s="5" t="n"/>
      <c r="F172" s="5" t="n"/>
      <c r="G172" s="5" t="n"/>
      <c r="H172" s="5" t="n"/>
      <c r="I172" s="4" t="n"/>
      <c r="J172" s="5" t="n"/>
      <c r="K172" s="4" t="n"/>
      <c r="L172" s="4" t="n"/>
      <c r="M172" s="5" t="n"/>
      <c r="N172" s="5" t="n"/>
      <c r="O172" s="4" t="n"/>
      <c r="P172" s="4" t="n"/>
      <c r="Q172" s="4" t="n"/>
      <c r="R172" s="5" t="n"/>
      <c r="S172" s="5" t="n"/>
      <c r="T172" s="6">
        <f>IF(M172="","",IF(OR(M172="Kauf abgeschlossen",M172="Verloren",M172="Warten auf Raum"),"o",IF(O172="","",IF(O172&lt;TODAY(),"!",IF(O172&lt;=TODAY()+1,"~","ok")))))</f>
        <v/>
      </c>
    </row>
    <row r="173" ht="20" customHeight="1">
      <c r="A173" s="7" t="n"/>
      <c r="B173" s="8" t="n"/>
      <c r="C173" s="7" t="n"/>
      <c r="D173" s="8" t="n"/>
      <c r="E173" s="8" t="n"/>
      <c r="F173" s="8" t="n"/>
      <c r="G173" s="8" t="n"/>
      <c r="H173" s="8" t="n"/>
      <c r="I173" s="7" t="n"/>
      <c r="J173" s="8" t="n"/>
      <c r="K173" s="7" t="n"/>
      <c r="L173" s="7" t="n"/>
      <c r="M173" s="8" t="n"/>
      <c r="N173" s="8" t="n"/>
      <c r="O173" s="7" t="n"/>
      <c r="P173" s="7" t="n"/>
      <c r="Q173" s="7" t="n"/>
      <c r="R173" s="8" t="n"/>
      <c r="S173" s="8" t="n"/>
      <c r="T173" s="9">
        <f>IF(M173="","",IF(OR(M173="Kauf abgeschlossen",M173="Verloren",M173="Warten auf Raum"),"o",IF(O173="","",IF(O173&lt;TODAY(),"!",IF(O173&lt;=TODAY()+1,"~","ok")))))</f>
        <v/>
      </c>
    </row>
    <row r="174" ht="20" customHeight="1">
      <c r="A174" s="4" t="n"/>
      <c r="B174" s="5" t="n"/>
      <c r="C174" s="4" t="n"/>
      <c r="D174" s="5" t="n"/>
      <c r="E174" s="5" t="n"/>
      <c r="F174" s="5" t="n"/>
      <c r="G174" s="5" t="n"/>
      <c r="H174" s="5" t="n"/>
      <c r="I174" s="4" t="n"/>
      <c r="J174" s="5" t="n"/>
      <c r="K174" s="4" t="n"/>
      <c r="L174" s="4" t="n"/>
      <c r="M174" s="5" t="n"/>
      <c r="N174" s="5" t="n"/>
      <c r="O174" s="4" t="n"/>
      <c r="P174" s="4" t="n"/>
      <c r="Q174" s="4" t="n"/>
      <c r="R174" s="5" t="n"/>
      <c r="S174" s="5" t="n"/>
      <c r="T174" s="6">
        <f>IF(M174="","",IF(OR(M174="Kauf abgeschlossen",M174="Verloren",M174="Warten auf Raum"),"o",IF(O174="","",IF(O174&lt;TODAY(),"!",IF(O174&lt;=TODAY()+1,"~","ok")))))</f>
        <v/>
      </c>
    </row>
    <row r="175" ht="20" customHeight="1">
      <c r="A175" s="7" t="n"/>
      <c r="B175" s="8" t="n"/>
      <c r="C175" s="7" t="n"/>
      <c r="D175" s="8" t="n"/>
      <c r="E175" s="8" t="n"/>
      <c r="F175" s="8" t="n"/>
      <c r="G175" s="8" t="n"/>
      <c r="H175" s="8" t="n"/>
      <c r="I175" s="7" t="n"/>
      <c r="J175" s="8" t="n"/>
      <c r="K175" s="7" t="n"/>
      <c r="L175" s="7" t="n"/>
      <c r="M175" s="8" t="n"/>
      <c r="N175" s="8" t="n"/>
      <c r="O175" s="7" t="n"/>
      <c r="P175" s="7" t="n"/>
      <c r="Q175" s="7" t="n"/>
      <c r="R175" s="8" t="n"/>
      <c r="S175" s="8" t="n"/>
      <c r="T175" s="9">
        <f>IF(M175="","",IF(OR(M175="Kauf abgeschlossen",M175="Verloren",M175="Warten auf Raum"),"o",IF(O175="","",IF(O175&lt;TODAY(),"!",IF(O175&lt;=TODAY()+1,"~","ok")))))</f>
        <v/>
      </c>
    </row>
    <row r="176" ht="20" customHeight="1">
      <c r="A176" s="4" t="n"/>
      <c r="B176" s="5" t="n"/>
      <c r="C176" s="4" t="n"/>
      <c r="D176" s="5" t="n"/>
      <c r="E176" s="5" t="n"/>
      <c r="F176" s="5" t="n"/>
      <c r="G176" s="5" t="n"/>
      <c r="H176" s="5" t="n"/>
      <c r="I176" s="4" t="n"/>
      <c r="J176" s="5" t="n"/>
      <c r="K176" s="4" t="n"/>
      <c r="L176" s="4" t="n"/>
      <c r="M176" s="5" t="n"/>
      <c r="N176" s="5" t="n"/>
      <c r="O176" s="4" t="n"/>
      <c r="P176" s="4" t="n"/>
      <c r="Q176" s="4" t="n"/>
      <c r="R176" s="5" t="n"/>
      <c r="S176" s="5" t="n"/>
      <c r="T176" s="6">
        <f>IF(M176="","",IF(OR(M176="Kauf abgeschlossen",M176="Verloren",M176="Warten auf Raum"),"o",IF(O176="","",IF(O176&lt;TODAY(),"!",IF(O176&lt;=TODAY()+1,"~","ok")))))</f>
        <v/>
      </c>
    </row>
    <row r="177" ht="20" customHeight="1">
      <c r="A177" s="7" t="n"/>
      <c r="B177" s="8" t="n"/>
      <c r="C177" s="7" t="n"/>
      <c r="D177" s="8" t="n"/>
      <c r="E177" s="8" t="n"/>
      <c r="F177" s="8" t="n"/>
      <c r="G177" s="8" t="n"/>
      <c r="H177" s="8" t="n"/>
      <c r="I177" s="7" t="n"/>
      <c r="J177" s="8" t="n"/>
      <c r="K177" s="7" t="n"/>
      <c r="L177" s="7" t="n"/>
      <c r="M177" s="8" t="n"/>
      <c r="N177" s="8" t="n"/>
      <c r="O177" s="7" t="n"/>
      <c r="P177" s="7" t="n"/>
      <c r="Q177" s="7" t="n"/>
      <c r="R177" s="8" t="n"/>
      <c r="S177" s="8" t="n"/>
      <c r="T177" s="9">
        <f>IF(M177="","",IF(OR(M177="Kauf abgeschlossen",M177="Verloren",M177="Warten auf Raum"),"o",IF(O177="","",IF(O177&lt;TODAY(),"!",IF(O177&lt;=TODAY()+1,"~","ok")))))</f>
        <v/>
      </c>
    </row>
    <row r="178" ht="20" customHeight="1">
      <c r="A178" s="4" t="n"/>
      <c r="B178" s="5" t="n"/>
      <c r="C178" s="4" t="n"/>
      <c r="D178" s="5" t="n"/>
      <c r="E178" s="5" t="n"/>
      <c r="F178" s="5" t="n"/>
      <c r="G178" s="5" t="n"/>
      <c r="H178" s="5" t="n"/>
      <c r="I178" s="4" t="n"/>
      <c r="J178" s="5" t="n"/>
      <c r="K178" s="4" t="n"/>
      <c r="L178" s="4" t="n"/>
      <c r="M178" s="5" t="n"/>
      <c r="N178" s="5" t="n"/>
      <c r="O178" s="4" t="n"/>
      <c r="P178" s="4" t="n"/>
      <c r="Q178" s="4" t="n"/>
      <c r="R178" s="5" t="n"/>
      <c r="S178" s="5" t="n"/>
      <c r="T178" s="6">
        <f>IF(M178="","",IF(OR(M178="Kauf abgeschlossen",M178="Verloren",M178="Warten auf Raum"),"o",IF(O178="","",IF(O178&lt;TODAY(),"!",IF(O178&lt;=TODAY()+1,"~","ok")))))</f>
        <v/>
      </c>
    </row>
    <row r="179" ht="20" customHeight="1">
      <c r="A179" s="7" t="n"/>
      <c r="B179" s="8" t="n"/>
      <c r="C179" s="7" t="n"/>
      <c r="D179" s="8" t="n"/>
      <c r="E179" s="8" t="n"/>
      <c r="F179" s="8" t="n"/>
      <c r="G179" s="8" t="n"/>
      <c r="H179" s="8" t="n"/>
      <c r="I179" s="7" t="n"/>
      <c r="J179" s="8" t="n"/>
      <c r="K179" s="7" t="n"/>
      <c r="L179" s="7" t="n"/>
      <c r="M179" s="8" t="n"/>
      <c r="N179" s="8" t="n"/>
      <c r="O179" s="7" t="n"/>
      <c r="P179" s="7" t="n"/>
      <c r="Q179" s="7" t="n"/>
      <c r="R179" s="8" t="n"/>
      <c r="S179" s="8" t="n"/>
      <c r="T179" s="9">
        <f>IF(M179="","",IF(OR(M179="Kauf abgeschlossen",M179="Verloren",M179="Warten auf Raum"),"o",IF(O179="","",IF(O179&lt;TODAY(),"!",IF(O179&lt;=TODAY()+1,"~","ok")))))</f>
        <v/>
      </c>
    </row>
    <row r="180" ht="20" customHeight="1">
      <c r="A180" s="4" t="n"/>
      <c r="B180" s="5" t="n"/>
      <c r="C180" s="4" t="n"/>
      <c r="D180" s="5" t="n"/>
      <c r="E180" s="5" t="n"/>
      <c r="F180" s="5" t="n"/>
      <c r="G180" s="5" t="n"/>
      <c r="H180" s="5" t="n"/>
      <c r="I180" s="4" t="n"/>
      <c r="J180" s="5" t="n"/>
      <c r="K180" s="4" t="n"/>
      <c r="L180" s="4" t="n"/>
      <c r="M180" s="5" t="n"/>
      <c r="N180" s="5" t="n"/>
      <c r="O180" s="4" t="n"/>
      <c r="P180" s="4" t="n"/>
      <c r="Q180" s="4" t="n"/>
      <c r="R180" s="5" t="n"/>
      <c r="S180" s="5" t="n"/>
      <c r="T180" s="6">
        <f>IF(M180="","",IF(OR(M180="Kauf abgeschlossen",M180="Verloren",M180="Warten auf Raum"),"o",IF(O180="","",IF(O180&lt;TODAY(),"!",IF(O180&lt;=TODAY()+1,"~","ok")))))</f>
        <v/>
      </c>
    </row>
    <row r="181" ht="20" customHeight="1">
      <c r="A181" s="7" t="n"/>
      <c r="B181" s="8" t="n"/>
      <c r="C181" s="7" t="n"/>
      <c r="D181" s="8" t="n"/>
      <c r="E181" s="8" t="n"/>
      <c r="F181" s="8" t="n"/>
      <c r="G181" s="8" t="n"/>
      <c r="H181" s="8" t="n"/>
      <c r="I181" s="7" t="n"/>
      <c r="J181" s="8" t="n"/>
      <c r="K181" s="7" t="n"/>
      <c r="L181" s="7" t="n"/>
      <c r="M181" s="8" t="n"/>
      <c r="N181" s="8" t="n"/>
      <c r="O181" s="7" t="n"/>
      <c r="P181" s="7" t="n"/>
      <c r="Q181" s="7" t="n"/>
      <c r="R181" s="8" t="n"/>
      <c r="S181" s="8" t="n"/>
      <c r="T181" s="9">
        <f>IF(M181="","",IF(OR(M181="Kauf abgeschlossen",M181="Verloren",M181="Warten auf Raum"),"o",IF(O181="","",IF(O181&lt;TODAY(),"!",IF(O181&lt;=TODAY()+1,"~","ok")))))</f>
        <v/>
      </c>
    </row>
    <row r="182" ht="20" customHeight="1">
      <c r="A182" s="4" t="n"/>
      <c r="B182" s="5" t="n"/>
      <c r="C182" s="4" t="n"/>
      <c r="D182" s="5" t="n"/>
      <c r="E182" s="5" t="n"/>
      <c r="F182" s="5" t="n"/>
      <c r="G182" s="5" t="n"/>
      <c r="H182" s="5" t="n"/>
      <c r="I182" s="4" t="n"/>
      <c r="J182" s="5" t="n"/>
      <c r="K182" s="4" t="n"/>
      <c r="L182" s="4" t="n"/>
      <c r="M182" s="5" t="n"/>
      <c r="N182" s="5" t="n"/>
      <c r="O182" s="4" t="n"/>
      <c r="P182" s="4" t="n"/>
      <c r="Q182" s="4" t="n"/>
      <c r="R182" s="5" t="n"/>
      <c r="S182" s="5" t="n"/>
      <c r="T182" s="6">
        <f>IF(M182="","",IF(OR(M182="Kauf abgeschlossen",M182="Verloren",M182="Warten auf Raum"),"o",IF(O182="","",IF(O182&lt;TODAY(),"!",IF(O182&lt;=TODAY()+1,"~","ok")))))</f>
        <v/>
      </c>
    </row>
    <row r="183" ht="20" customHeight="1">
      <c r="A183" s="7" t="n"/>
      <c r="B183" s="8" t="n"/>
      <c r="C183" s="7" t="n"/>
      <c r="D183" s="8" t="n"/>
      <c r="E183" s="8" t="n"/>
      <c r="F183" s="8" t="n"/>
      <c r="G183" s="8" t="n"/>
      <c r="H183" s="8" t="n"/>
      <c r="I183" s="7" t="n"/>
      <c r="J183" s="8" t="n"/>
      <c r="K183" s="7" t="n"/>
      <c r="L183" s="7" t="n"/>
      <c r="M183" s="8" t="n"/>
      <c r="N183" s="8" t="n"/>
      <c r="O183" s="7" t="n"/>
      <c r="P183" s="7" t="n"/>
      <c r="Q183" s="7" t="n"/>
      <c r="R183" s="8" t="n"/>
      <c r="S183" s="8" t="n"/>
      <c r="T183" s="9">
        <f>IF(M183="","",IF(OR(M183="Kauf abgeschlossen",M183="Verloren",M183="Warten auf Raum"),"o",IF(O183="","",IF(O183&lt;TODAY(),"!",IF(O183&lt;=TODAY()+1,"~","ok")))))</f>
        <v/>
      </c>
    </row>
    <row r="184" ht="20" customHeight="1">
      <c r="A184" s="4" t="n"/>
      <c r="B184" s="5" t="n"/>
      <c r="C184" s="4" t="n"/>
      <c r="D184" s="5" t="n"/>
      <c r="E184" s="5" t="n"/>
      <c r="F184" s="5" t="n"/>
      <c r="G184" s="5" t="n"/>
      <c r="H184" s="5" t="n"/>
      <c r="I184" s="4" t="n"/>
      <c r="J184" s="5" t="n"/>
      <c r="K184" s="4" t="n"/>
      <c r="L184" s="4" t="n"/>
      <c r="M184" s="5" t="n"/>
      <c r="N184" s="5" t="n"/>
      <c r="O184" s="4" t="n"/>
      <c r="P184" s="4" t="n"/>
      <c r="Q184" s="4" t="n"/>
      <c r="R184" s="5" t="n"/>
      <c r="S184" s="5" t="n"/>
      <c r="T184" s="6">
        <f>IF(M184="","",IF(OR(M184="Kauf abgeschlossen",M184="Verloren",M184="Warten auf Raum"),"o",IF(O184="","",IF(O184&lt;TODAY(),"!",IF(O184&lt;=TODAY()+1,"~","ok")))))</f>
        <v/>
      </c>
    </row>
    <row r="185" ht="20" customHeight="1">
      <c r="A185" s="7" t="n"/>
      <c r="B185" s="8" t="n"/>
      <c r="C185" s="7" t="n"/>
      <c r="D185" s="8" t="n"/>
      <c r="E185" s="8" t="n"/>
      <c r="F185" s="8" t="n"/>
      <c r="G185" s="8" t="n"/>
      <c r="H185" s="8" t="n"/>
      <c r="I185" s="7" t="n"/>
      <c r="J185" s="8" t="n"/>
      <c r="K185" s="7" t="n"/>
      <c r="L185" s="7" t="n"/>
      <c r="M185" s="8" t="n"/>
      <c r="N185" s="8" t="n"/>
      <c r="O185" s="7" t="n"/>
      <c r="P185" s="7" t="n"/>
      <c r="Q185" s="7" t="n"/>
      <c r="R185" s="8" t="n"/>
      <c r="S185" s="8" t="n"/>
      <c r="T185" s="9">
        <f>IF(M185="","",IF(OR(M185="Kauf abgeschlossen",M185="Verloren",M185="Warten auf Raum"),"o",IF(O185="","",IF(O185&lt;TODAY(),"!",IF(O185&lt;=TODAY()+1,"~","ok")))))</f>
        <v/>
      </c>
    </row>
    <row r="186" ht="20" customHeight="1">
      <c r="A186" s="4" t="n"/>
      <c r="B186" s="5" t="n"/>
      <c r="C186" s="4" t="n"/>
      <c r="D186" s="5" t="n"/>
      <c r="E186" s="5" t="n"/>
      <c r="F186" s="5" t="n"/>
      <c r="G186" s="5" t="n"/>
      <c r="H186" s="5" t="n"/>
      <c r="I186" s="4" t="n"/>
      <c r="J186" s="5" t="n"/>
      <c r="K186" s="4" t="n"/>
      <c r="L186" s="4" t="n"/>
      <c r="M186" s="5" t="n"/>
      <c r="N186" s="5" t="n"/>
      <c r="O186" s="4" t="n"/>
      <c r="P186" s="4" t="n"/>
      <c r="Q186" s="4" t="n"/>
      <c r="R186" s="5" t="n"/>
      <c r="S186" s="5" t="n"/>
      <c r="T186" s="6">
        <f>IF(M186="","",IF(OR(M186="Kauf abgeschlossen",M186="Verloren",M186="Warten auf Raum"),"o",IF(O186="","",IF(O186&lt;TODAY(),"!",IF(O186&lt;=TODAY()+1,"~","ok")))))</f>
        <v/>
      </c>
    </row>
    <row r="187" ht="20" customHeight="1">
      <c r="A187" s="7" t="n"/>
      <c r="B187" s="8" t="n"/>
      <c r="C187" s="7" t="n"/>
      <c r="D187" s="8" t="n"/>
      <c r="E187" s="8" t="n"/>
      <c r="F187" s="8" t="n"/>
      <c r="G187" s="8" t="n"/>
      <c r="H187" s="8" t="n"/>
      <c r="I187" s="7" t="n"/>
      <c r="J187" s="8" t="n"/>
      <c r="K187" s="7" t="n"/>
      <c r="L187" s="7" t="n"/>
      <c r="M187" s="8" t="n"/>
      <c r="N187" s="8" t="n"/>
      <c r="O187" s="7" t="n"/>
      <c r="P187" s="7" t="n"/>
      <c r="Q187" s="7" t="n"/>
      <c r="R187" s="8" t="n"/>
      <c r="S187" s="8" t="n"/>
      <c r="T187" s="9">
        <f>IF(M187="","",IF(OR(M187="Kauf abgeschlossen",M187="Verloren",M187="Warten auf Raum"),"o",IF(O187="","",IF(O187&lt;TODAY(),"!",IF(O187&lt;=TODAY()+1,"~","ok")))))</f>
        <v/>
      </c>
    </row>
    <row r="188" ht="20" customHeight="1">
      <c r="A188" s="4" t="n"/>
      <c r="B188" s="5" t="n"/>
      <c r="C188" s="4" t="n"/>
      <c r="D188" s="5" t="n"/>
      <c r="E188" s="5" t="n"/>
      <c r="F188" s="5" t="n"/>
      <c r="G188" s="5" t="n"/>
      <c r="H188" s="5" t="n"/>
      <c r="I188" s="4" t="n"/>
      <c r="J188" s="5" t="n"/>
      <c r="K188" s="4" t="n"/>
      <c r="L188" s="4" t="n"/>
      <c r="M188" s="5" t="n"/>
      <c r="N188" s="5" t="n"/>
      <c r="O188" s="4" t="n"/>
      <c r="P188" s="4" t="n"/>
      <c r="Q188" s="4" t="n"/>
      <c r="R188" s="5" t="n"/>
      <c r="S188" s="5" t="n"/>
      <c r="T188" s="6">
        <f>IF(M188="","",IF(OR(M188="Kauf abgeschlossen",M188="Verloren",M188="Warten auf Raum"),"o",IF(O188="","",IF(O188&lt;TODAY(),"!",IF(O188&lt;=TODAY()+1,"~","ok")))))</f>
        <v/>
      </c>
    </row>
    <row r="189" ht="20" customHeight="1">
      <c r="A189" s="7" t="n"/>
      <c r="B189" s="8" t="n"/>
      <c r="C189" s="7" t="n"/>
      <c r="D189" s="8" t="n"/>
      <c r="E189" s="8" t="n"/>
      <c r="F189" s="8" t="n"/>
      <c r="G189" s="8" t="n"/>
      <c r="H189" s="8" t="n"/>
      <c r="I189" s="7" t="n"/>
      <c r="J189" s="8" t="n"/>
      <c r="K189" s="7" t="n"/>
      <c r="L189" s="7" t="n"/>
      <c r="M189" s="8" t="n"/>
      <c r="N189" s="8" t="n"/>
      <c r="O189" s="7" t="n"/>
      <c r="P189" s="7" t="n"/>
      <c r="Q189" s="7" t="n"/>
      <c r="R189" s="8" t="n"/>
      <c r="S189" s="8" t="n"/>
      <c r="T189" s="9">
        <f>IF(M189="","",IF(OR(M189="Kauf abgeschlossen",M189="Verloren",M189="Warten auf Raum"),"o",IF(O189="","",IF(O189&lt;TODAY(),"!",IF(O189&lt;=TODAY()+1,"~","ok")))))</f>
        <v/>
      </c>
    </row>
    <row r="190" ht="20" customHeight="1">
      <c r="A190" s="4" t="n"/>
      <c r="B190" s="5" t="n"/>
      <c r="C190" s="4" t="n"/>
      <c r="D190" s="5" t="n"/>
      <c r="E190" s="5" t="n"/>
      <c r="F190" s="5" t="n"/>
      <c r="G190" s="5" t="n"/>
      <c r="H190" s="5" t="n"/>
      <c r="I190" s="4" t="n"/>
      <c r="J190" s="5" t="n"/>
      <c r="K190" s="4" t="n"/>
      <c r="L190" s="4" t="n"/>
      <c r="M190" s="5" t="n"/>
      <c r="N190" s="5" t="n"/>
      <c r="O190" s="4" t="n"/>
      <c r="P190" s="4" t="n"/>
      <c r="Q190" s="4" t="n"/>
      <c r="R190" s="5" t="n"/>
      <c r="S190" s="5" t="n"/>
      <c r="T190" s="6">
        <f>IF(M190="","",IF(OR(M190="Kauf abgeschlossen",M190="Verloren",M190="Warten auf Raum"),"o",IF(O190="","",IF(O190&lt;TODAY(),"!",IF(O190&lt;=TODAY()+1,"~","ok")))))</f>
        <v/>
      </c>
    </row>
    <row r="191" ht="20" customHeight="1">
      <c r="A191" s="7" t="n"/>
      <c r="B191" s="8" t="n"/>
      <c r="C191" s="7" t="n"/>
      <c r="D191" s="8" t="n"/>
      <c r="E191" s="8" t="n"/>
      <c r="F191" s="8" t="n"/>
      <c r="G191" s="8" t="n"/>
      <c r="H191" s="8" t="n"/>
      <c r="I191" s="7" t="n"/>
      <c r="J191" s="8" t="n"/>
      <c r="K191" s="7" t="n"/>
      <c r="L191" s="7" t="n"/>
      <c r="M191" s="8" t="n"/>
      <c r="N191" s="8" t="n"/>
      <c r="O191" s="7" t="n"/>
      <c r="P191" s="7" t="n"/>
      <c r="Q191" s="7" t="n"/>
      <c r="R191" s="8" t="n"/>
      <c r="S191" s="8" t="n"/>
      <c r="T191" s="9">
        <f>IF(M191="","",IF(OR(M191="Kauf abgeschlossen",M191="Verloren",M191="Warten auf Raum"),"o",IF(O191="","",IF(O191&lt;TODAY(),"!",IF(O191&lt;=TODAY()+1,"~","ok")))))</f>
        <v/>
      </c>
    </row>
    <row r="192" ht="20" customHeight="1">
      <c r="A192" s="4" t="n"/>
      <c r="B192" s="5" t="n"/>
      <c r="C192" s="4" t="n"/>
      <c r="D192" s="5" t="n"/>
      <c r="E192" s="5" t="n"/>
      <c r="F192" s="5" t="n"/>
      <c r="G192" s="5" t="n"/>
      <c r="H192" s="5" t="n"/>
      <c r="I192" s="4" t="n"/>
      <c r="J192" s="5" t="n"/>
      <c r="K192" s="4" t="n"/>
      <c r="L192" s="4" t="n"/>
      <c r="M192" s="5" t="n"/>
      <c r="N192" s="5" t="n"/>
      <c r="O192" s="4" t="n"/>
      <c r="P192" s="4" t="n"/>
      <c r="Q192" s="4" t="n"/>
      <c r="R192" s="5" t="n"/>
      <c r="S192" s="5" t="n"/>
      <c r="T192" s="6">
        <f>IF(M192="","",IF(OR(M192="Kauf abgeschlossen",M192="Verloren",M192="Warten auf Raum"),"o",IF(O192="","",IF(O192&lt;TODAY(),"!",IF(O192&lt;=TODAY()+1,"~","ok")))))</f>
        <v/>
      </c>
    </row>
    <row r="193" ht="20" customHeight="1">
      <c r="A193" s="7" t="n"/>
      <c r="B193" s="8" t="n"/>
      <c r="C193" s="7" t="n"/>
      <c r="D193" s="8" t="n"/>
      <c r="E193" s="8" t="n"/>
      <c r="F193" s="8" t="n"/>
      <c r="G193" s="8" t="n"/>
      <c r="H193" s="8" t="n"/>
      <c r="I193" s="7" t="n"/>
      <c r="J193" s="8" t="n"/>
      <c r="K193" s="7" t="n"/>
      <c r="L193" s="7" t="n"/>
      <c r="M193" s="8" t="n"/>
      <c r="N193" s="8" t="n"/>
      <c r="O193" s="7" t="n"/>
      <c r="P193" s="7" t="n"/>
      <c r="Q193" s="7" t="n"/>
      <c r="R193" s="8" t="n"/>
      <c r="S193" s="8" t="n"/>
      <c r="T193" s="9">
        <f>IF(M193="","",IF(OR(M193="Kauf abgeschlossen",M193="Verloren",M193="Warten auf Raum"),"o",IF(O193="","",IF(O193&lt;TODAY(),"!",IF(O193&lt;=TODAY()+1,"~","ok")))))</f>
        <v/>
      </c>
    </row>
    <row r="194" ht="20" customHeight="1">
      <c r="A194" s="4" t="n"/>
      <c r="B194" s="5" t="n"/>
      <c r="C194" s="4" t="n"/>
      <c r="D194" s="5" t="n"/>
      <c r="E194" s="5" t="n"/>
      <c r="F194" s="5" t="n"/>
      <c r="G194" s="5" t="n"/>
      <c r="H194" s="5" t="n"/>
      <c r="I194" s="4" t="n"/>
      <c r="J194" s="5" t="n"/>
      <c r="K194" s="4" t="n"/>
      <c r="L194" s="4" t="n"/>
      <c r="M194" s="5" t="n"/>
      <c r="N194" s="5" t="n"/>
      <c r="O194" s="4" t="n"/>
      <c r="P194" s="4" t="n"/>
      <c r="Q194" s="4" t="n"/>
      <c r="R194" s="5" t="n"/>
      <c r="S194" s="5" t="n"/>
      <c r="T194" s="6">
        <f>IF(M194="","",IF(OR(M194="Kauf abgeschlossen",M194="Verloren",M194="Warten auf Raum"),"o",IF(O194="","",IF(O194&lt;TODAY(),"!",IF(O194&lt;=TODAY()+1,"~","ok")))))</f>
        <v/>
      </c>
    </row>
    <row r="195" ht="20" customHeight="1">
      <c r="A195" s="7" t="n"/>
      <c r="B195" s="8" t="n"/>
      <c r="C195" s="7" t="n"/>
      <c r="D195" s="8" t="n"/>
      <c r="E195" s="8" t="n"/>
      <c r="F195" s="8" t="n"/>
      <c r="G195" s="8" t="n"/>
      <c r="H195" s="8" t="n"/>
      <c r="I195" s="7" t="n"/>
      <c r="J195" s="8" t="n"/>
      <c r="K195" s="7" t="n"/>
      <c r="L195" s="7" t="n"/>
      <c r="M195" s="8" t="n"/>
      <c r="N195" s="8" t="n"/>
      <c r="O195" s="7" t="n"/>
      <c r="P195" s="7" t="n"/>
      <c r="Q195" s="7" t="n"/>
      <c r="R195" s="8" t="n"/>
      <c r="S195" s="8" t="n"/>
      <c r="T195" s="9">
        <f>IF(M195="","",IF(OR(M195="Kauf abgeschlossen",M195="Verloren",M195="Warten auf Raum"),"o",IF(O195="","",IF(O195&lt;TODAY(),"!",IF(O195&lt;=TODAY()+1,"~","ok")))))</f>
        <v/>
      </c>
    </row>
    <row r="196" ht="20" customHeight="1">
      <c r="A196" s="4" t="n"/>
      <c r="B196" s="5" t="n"/>
      <c r="C196" s="4" t="n"/>
      <c r="D196" s="5" t="n"/>
      <c r="E196" s="5" t="n"/>
      <c r="F196" s="5" t="n"/>
      <c r="G196" s="5" t="n"/>
      <c r="H196" s="5" t="n"/>
      <c r="I196" s="4" t="n"/>
      <c r="J196" s="5" t="n"/>
      <c r="K196" s="4" t="n"/>
      <c r="L196" s="4" t="n"/>
      <c r="M196" s="5" t="n"/>
      <c r="N196" s="5" t="n"/>
      <c r="O196" s="4" t="n"/>
      <c r="P196" s="4" t="n"/>
      <c r="Q196" s="4" t="n"/>
      <c r="R196" s="5" t="n"/>
      <c r="S196" s="5" t="n"/>
      <c r="T196" s="6">
        <f>IF(M196="","",IF(OR(M196="Kauf abgeschlossen",M196="Verloren",M196="Warten auf Raum"),"o",IF(O196="","",IF(O196&lt;TODAY(),"!",IF(O196&lt;=TODAY()+1,"~","ok")))))</f>
        <v/>
      </c>
    </row>
    <row r="197" ht="20" customHeight="1">
      <c r="A197" s="7" t="n"/>
      <c r="B197" s="8" t="n"/>
      <c r="C197" s="7" t="n"/>
      <c r="D197" s="8" t="n"/>
      <c r="E197" s="8" t="n"/>
      <c r="F197" s="8" t="n"/>
      <c r="G197" s="8" t="n"/>
      <c r="H197" s="8" t="n"/>
      <c r="I197" s="7" t="n"/>
      <c r="J197" s="8" t="n"/>
      <c r="K197" s="7" t="n"/>
      <c r="L197" s="7" t="n"/>
      <c r="M197" s="8" t="n"/>
      <c r="N197" s="8" t="n"/>
      <c r="O197" s="7" t="n"/>
      <c r="P197" s="7" t="n"/>
      <c r="Q197" s="7" t="n"/>
      <c r="R197" s="8" t="n"/>
      <c r="S197" s="8" t="n"/>
      <c r="T197" s="9">
        <f>IF(M197="","",IF(OR(M197="Kauf abgeschlossen",M197="Verloren",M197="Warten auf Raum"),"o",IF(O197="","",IF(O197&lt;TODAY(),"!",IF(O197&lt;=TODAY()+1,"~","ok")))))</f>
        <v/>
      </c>
    </row>
    <row r="198" ht="20" customHeight="1">
      <c r="A198" s="4" t="n"/>
      <c r="B198" s="5" t="n"/>
      <c r="C198" s="4" t="n"/>
      <c r="D198" s="5" t="n"/>
      <c r="E198" s="5" t="n"/>
      <c r="F198" s="5" t="n"/>
      <c r="G198" s="5" t="n"/>
      <c r="H198" s="5" t="n"/>
      <c r="I198" s="4" t="n"/>
      <c r="J198" s="5" t="n"/>
      <c r="K198" s="4" t="n"/>
      <c r="L198" s="4" t="n"/>
      <c r="M198" s="5" t="n"/>
      <c r="N198" s="5" t="n"/>
      <c r="O198" s="4" t="n"/>
      <c r="P198" s="4" t="n"/>
      <c r="Q198" s="4" t="n"/>
      <c r="R198" s="5" t="n"/>
      <c r="S198" s="5" t="n"/>
      <c r="T198" s="6">
        <f>IF(M198="","",IF(OR(M198="Kauf abgeschlossen",M198="Verloren",M198="Warten auf Raum"),"o",IF(O198="","",IF(O198&lt;TODAY(),"!",IF(O198&lt;=TODAY()+1,"~","ok")))))</f>
        <v/>
      </c>
    </row>
    <row r="199" ht="20" customHeight="1">
      <c r="A199" s="7" t="n"/>
      <c r="B199" s="8" t="n"/>
      <c r="C199" s="7" t="n"/>
      <c r="D199" s="8" t="n"/>
      <c r="E199" s="8" t="n"/>
      <c r="F199" s="8" t="n"/>
      <c r="G199" s="8" t="n"/>
      <c r="H199" s="8" t="n"/>
      <c r="I199" s="7" t="n"/>
      <c r="J199" s="8" t="n"/>
      <c r="K199" s="7" t="n"/>
      <c r="L199" s="7" t="n"/>
      <c r="M199" s="8" t="n"/>
      <c r="N199" s="8" t="n"/>
      <c r="O199" s="7" t="n"/>
      <c r="P199" s="7" t="n"/>
      <c r="Q199" s="7" t="n"/>
      <c r="R199" s="8" t="n"/>
      <c r="S199" s="8" t="n"/>
      <c r="T199" s="9">
        <f>IF(M199="","",IF(OR(M199="Kauf abgeschlossen",M199="Verloren",M199="Warten auf Raum"),"o",IF(O199="","",IF(O199&lt;TODAY(),"!",IF(O199&lt;=TODAY()+1,"~","ok")))))</f>
        <v/>
      </c>
    </row>
    <row r="200" ht="20" customHeight="1">
      <c r="A200" s="4" t="n"/>
      <c r="B200" s="5" t="n"/>
      <c r="C200" s="4" t="n"/>
      <c r="D200" s="5" t="n"/>
      <c r="E200" s="5" t="n"/>
      <c r="F200" s="5" t="n"/>
      <c r="G200" s="5" t="n"/>
      <c r="H200" s="5" t="n"/>
      <c r="I200" s="4" t="n"/>
      <c r="J200" s="5" t="n"/>
      <c r="K200" s="4" t="n"/>
      <c r="L200" s="4" t="n"/>
      <c r="M200" s="5" t="n"/>
      <c r="N200" s="5" t="n"/>
      <c r="O200" s="4" t="n"/>
      <c r="P200" s="4" t="n"/>
      <c r="Q200" s="4" t="n"/>
      <c r="R200" s="5" t="n"/>
      <c r="S200" s="5" t="n"/>
      <c r="T200" s="6">
        <f>IF(M200="","",IF(OR(M200="Kauf abgeschlossen",M200="Verloren",M200="Warten auf Raum"),"o",IF(O200="","",IF(O200&lt;TODAY(),"!",IF(O200&lt;=TODAY()+1,"~","ok")))))</f>
        <v/>
      </c>
    </row>
    <row r="201" ht="20" customHeight="1">
      <c r="A201" s="7" t="n"/>
      <c r="B201" s="8" t="n"/>
      <c r="C201" s="7" t="n"/>
      <c r="D201" s="8" t="n"/>
      <c r="E201" s="8" t="n"/>
      <c r="F201" s="8" t="n"/>
      <c r="G201" s="8" t="n"/>
      <c r="H201" s="8" t="n"/>
      <c r="I201" s="7" t="n"/>
      <c r="J201" s="8" t="n"/>
      <c r="K201" s="7" t="n"/>
      <c r="L201" s="7" t="n"/>
      <c r="M201" s="8" t="n"/>
      <c r="N201" s="8" t="n"/>
      <c r="O201" s="7" t="n"/>
      <c r="P201" s="7" t="n"/>
      <c r="Q201" s="7" t="n"/>
      <c r="R201" s="8" t="n"/>
      <c r="S201" s="8" t="n"/>
      <c r="T201" s="9">
        <f>IF(M201="","",IF(OR(M201="Kauf abgeschlossen",M201="Verloren",M201="Warten auf Raum"),"o",IF(O201="","",IF(O201&lt;TODAY(),"!",IF(O201&lt;=TODAY()+1,"~","ok")))))</f>
        <v/>
      </c>
    </row>
    <row r="202" ht="20" customHeight="1">
      <c r="A202" s="4" t="n"/>
      <c r="B202" s="5" t="n"/>
      <c r="C202" s="4" t="n"/>
      <c r="D202" s="5" t="n"/>
      <c r="E202" s="5" t="n"/>
      <c r="F202" s="5" t="n"/>
      <c r="G202" s="5" t="n"/>
      <c r="H202" s="5" t="n"/>
      <c r="I202" s="4" t="n"/>
      <c r="J202" s="5" t="n"/>
      <c r="K202" s="4" t="n"/>
      <c r="L202" s="4" t="n"/>
      <c r="M202" s="5" t="n"/>
      <c r="N202" s="5" t="n"/>
      <c r="O202" s="4" t="n"/>
      <c r="P202" s="4" t="n"/>
      <c r="Q202" s="4" t="n"/>
      <c r="R202" s="5" t="n"/>
      <c r="S202" s="5" t="n"/>
      <c r="T202" s="6">
        <f>IF(M202="","",IF(OR(M202="Kauf abgeschlossen",M202="Verloren",M202="Warten auf Raum"),"o",IF(O202="","",IF(O202&lt;TODAY(),"!",IF(O202&lt;=TODAY()+1,"~","ok")))))</f>
        <v/>
      </c>
    </row>
    <row r="203" ht="20" customHeight="1">
      <c r="A203" s="7" t="n"/>
      <c r="B203" s="8" t="n"/>
      <c r="C203" s="7" t="n"/>
      <c r="D203" s="8" t="n"/>
      <c r="E203" s="8" t="n"/>
      <c r="F203" s="8" t="n"/>
      <c r="G203" s="8" t="n"/>
      <c r="H203" s="8" t="n"/>
      <c r="I203" s="7" t="n"/>
      <c r="J203" s="8" t="n"/>
      <c r="K203" s="7" t="n"/>
      <c r="L203" s="7" t="n"/>
      <c r="M203" s="8" t="n"/>
      <c r="N203" s="8" t="n"/>
      <c r="O203" s="7" t="n"/>
      <c r="P203" s="7" t="n"/>
      <c r="Q203" s="7" t="n"/>
      <c r="R203" s="8" t="n"/>
      <c r="S203" s="8" t="n"/>
      <c r="T203" s="9">
        <f>IF(M203="","",IF(OR(M203="Kauf abgeschlossen",M203="Verloren",M203="Warten auf Raum"),"o",IF(O203="","",IF(O203&lt;TODAY(),"!",IF(O203&lt;=TODAY()+1,"~","ok")))))</f>
        <v/>
      </c>
    </row>
  </sheetData>
  <autoFilter ref="A3:T3"/>
  <mergeCells count="2">
    <mergeCell ref="A1:T1"/>
    <mergeCell ref="A2:T2"/>
  </mergeCells>
  <conditionalFormatting sqref="M4:M2000">
    <cfRule type="expression" priority="1" dxfId="0">
      <formula>M4="Kauf abgeschlossen"</formula>
    </cfRule>
    <cfRule type="expression" priority="2" dxfId="1">
      <formula>M4="Verloren"</formula>
    </cfRule>
    <cfRule type="expression" priority="3" dxfId="2">
      <formula>M4="Heimcheck angelegt"</formula>
    </cfRule>
    <cfRule type="expression" priority="4" dxfId="3">
      <formula>M4="Entscheidungscheck geplant"</formula>
    </cfRule>
    <cfRule type="expression" priority="5" dxfId="4">
      <formula>M4="Angebot konkret"</formula>
    </cfRule>
    <cfRule type="expression" priority="6" dxfId="5">
      <formula>M4="Warten auf Raum"</formula>
    </cfRule>
  </conditionalFormatting>
  <conditionalFormatting sqref="O4:O2000">
    <cfRule type="expression" priority="7" dxfId="6">
      <formula>AND(O4&lt;TODAY(),O4&lt;&gt;"",NOT(OR(M4="Kauf abgeschlossen",M4="Verloren",M4="Warten auf Raum")))</formula>
    </cfRule>
    <cfRule type="expression" priority="8" dxfId="3">
      <formula>AND(O4&lt;=TODAY()+1,O4&gt;=TODAY(),NOT(OR(M4="Kauf abgeschlossen",M4="Verloren",M4="Warten auf Raum")))</formula>
    </cfRule>
  </conditionalFormatting>
  <conditionalFormatting sqref="T4:T2000">
    <cfRule type="expression" priority="9" dxfId="6">
      <formula>T4="!"</formula>
    </cfRule>
    <cfRule type="expression" priority="10" dxfId="3">
      <formula>T4="~"</formula>
    </cfRule>
    <cfRule type="expression" priority="11" dxfId="7">
      <formula>T4="ok"</formula>
    </cfRule>
    <cfRule type="expression" priority="12" dxfId="8">
      <formula>T4="o"</formula>
    </cfRule>
  </conditionalFormatting>
  <conditionalFormatting sqref="L4:L2000">
    <cfRule type="expression" priority="13" dxfId="7">
      <formula>L4=5</formula>
    </cfRule>
    <cfRule type="expression" priority="14" dxfId="9">
      <formula>L4=4</formula>
    </cfRule>
    <cfRule type="expression" priority="15" dxfId="10">
      <formula>L4&lt;=2</formula>
    </cfRule>
  </conditionalFormatting>
  <dataValidations count="9">
    <dataValidation sqref="C4:C2000" showDropDown="0" showInputMessage="0" showErrorMessage="0" allowBlank="1" type="list">
      <formula1>"Daniel,Jonas,Angie,Norbert"</formula1>
    </dataValidation>
    <dataValidation sqref="F4:F2000" showDropDown="0" showInputMessage="0" showErrorMessage="0" allowBlank="1" type="list">
      <formula1>"Laufband,Ergometer,Crosstrainer,Rudergeraet,Kraftstation,Sonstiges"</formula1>
    </dataValidation>
    <dataValidation sqref="I4:I2000" showDropDown="0" showInputMessage="0" showErrorMessage="0" allowBlank="1" type="list">
      <formula1>"A,B,C,D,E,F,G,H,I,J"</formula1>
    </dataValidation>
    <dataValidation sqref="K4:K2000" showDropDown="0" showInputMessage="0" showErrorMessage="0" allowBlank="1" type="list">
      <formula1>"E1 Masse,E2 Partner,E3 Budget,E4 Qualitaet,E5 Raum,E6 Nutzung,E7 Dringlichkeit,E8 Ausmessen,E9 Frau fragen,E10 Passt es rein,-"</formula1>
    </dataValidation>
    <dataValidation sqref="L4:L2000" showDropDown="0" showInputMessage="0" showErrorMessage="0" allowBlank="1" type="list">
      <formula1>"1,2,3,4,5"</formula1>
    </dataValidation>
    <dataValidation sqref="M4:M2000" showDropDown="0" showInputMessage="0" showErrorMessage="0" allowBlank="1" type="list">
      <formula1>"Beratung offen,Heimcheck angelegt,Entscheidungscheck geplant,Angebot konkret,Kauf abgeschlossen,Warten auf Raum,Verloren"</formula1>
    </dataValidation>
    <dataValidation sqref="N4:N2000" showDropDown="0" showInputMessage="0" showErrorMessage="0" allowBlank="1" type="list">
      <formula1>"Check-Anruf,2. Besuch,Wiedervorlage,-"</formula1>
    </dataValidation>
    <dataValidation sqref="Q4:Q2000" showDropDown="0" showInputMessage="0" showErrorMessage="0" allowBlank="1" type="list">
      <formula1>"Ja,Nein,Offen"</formula1>
    </dataValidation>
    <dataValidation sqref="R4:R2000" showDropDown="0" showInputMessage="0" showErrorMessage="0" allowBlank="1" type="list">
      <formula1>"Online,Preis,Kein Bedarf,Konkurrenz,Keine Rueckmeldung,-"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8" customHeight="1">
      <c r="A1" s="1" t="inlineStr">
        <is>
          <t>FITSHOP</t>
        </is>
      </c>
    </row>
    <row r="2" ht="18" customHeight="1">
      <c r="A2" s="2" t="inlineStr">
        <is>
          <t>KPI DASHBOARD 2026  ·  Hall/Tirol</t>
        </is>
      </c>
    </row>
    <row r="3" ht="16" customHeight="1">
      <c r="A3" s="10" t="inlineStr">
        <is>
          <t>Werte werden automatisch aus dem Lead-Tracking berechnet. Seite aktualisieren mit Strg+Alt+F9</t>
        </is>
      </c>
    </row>
    <row r="4" ht="24" customHeight="1">
      <c r="A4" s="11" t="inlineStr"/>
      <c r="B4" s="12" t="inlineStr">
        <is>
          <t>Gesamt</t>
        </is>
      </c>
      <c r="C4" s="12" t="inlineStr">
        <is>
          <t>Daniel</t>
        </is>
      </c>
      <c r="D4" s="12" t="inlineStr">
        <is>
          <t>Jonas</t>
        </is>
      </c>
      <c r="E4" s="12" t="inlineStr">
        <is>
          <t>Angie</t>
        </is>
      </c>
      <c r="F4" s="12" t="inlineStr">
        <is>
          <t>Norbert</t>
        </is>
      </c>
    </row>
    <row r="5" ht="22" customHeight="1">
      <c r="A5" s="13" t="inlineStr">
        <is>
          <t>Leads gesamt</t>
        </is>
      </c>
      <c r="B5" s="14">
        <f>COUNTA('Lead-Tracking 2026'!A4:A2000)</f>
        <v/>
      </c>
      <c r="C5" s="14">
        <f>COUNTIF('Lead-Tracking 2026'!C4:C2000,"Daniel")</f>
        <v/>
      </c>
      <c r="D5" s="14">
        <f>COUNTIF('Lead-Tracking 2026'!C4:C2000,"Jonas")</f>
        <v/>
      </c>
      <c r="E5" s="14">
        <f>COUNTIF('Lead-Tracking 2026'!C4:C2000,"Angie")</f>
        <v/>
      </c>
      <c r="F5" s="14">
        <f>COUNTIF('Lead-Tracking 2026'!C4:C2000,"Norbert")</f>
        <v/>
      </c>
    </row>
    <row r="6" ht="22" customHeight="1">
      <c r="A6" s="15" t="inlineStr">
        <is>
          <t>Abschluesse (Kauf Ja)</t>
        </is>
      </c>
      <c r="B6" s="16">
        <f>COUNTIF('Lead-Tracking 2026'!Q4:Q2000,"Ja")</f>
        <v/>
      </c>
      <c r="C6" s="16">
        <f>COUNTIFS('Lead-Tracking 2026'!C4:C2000,"Daniel",'Lead-Tracking 2026'!Q4:Q2000,"Ja")</f>
        <v/>
      </c>
      <c r="D6" s="16">
        <f>COUNTIFS('Lead-Tracking 2026'!C4:C2000,"Jonas",'Lead-Tracking 2026'!Q4:Q2000,"Ja")</f>
        <v/>
      </c>
      <c r="E6" s="16">
        <f>COUNTIFS('Lead-Tracking 2026'!C4:C2000,"Angie",'Lead-Tracking 2026'!Q4:Q2000,"Ja")</f>
        <v/>
      </c>
      <c r="F6" s="16">
        <f>COUNTIFS('Lead-Tracking 2026'!C4:C2000,"Norbert",'Lead-Tracking 2026'!Q4:Q2000,"Ja")</f>
        <v/>
      </c>
    </row>
    <row r="7" ht="22" customHeight="1">
      <c r="A7" s="13" t="inlineStr">
        <is>
          <t>Abschlussquote</t>
        </is>
      </c>
      <c r="B7" s="17">
        <f>IF(B5=0,"—",B6/B5)</f>
        <v/>
      </c>
      <c r="C7" s="17">
        <f>IF(C5=0,"—",C6/C5)</f>
        <v/>
      </c>
      <c r="D7" s="17">
        <f>IF(D5=0,"—",D6/D5)</f>
        <v/>
      </c>
      <c r="E7" s="17">
        <f>IF(E5=0,"—",E6/E5)</f>
        <v/>
      </c>
      <c r="F7" s="17">
        <f>IF(F5=0,"—",F6/F5)</f>
        <v/>
      </c>
    </row>
    <row r="8" ht="22" customHeight="1">
      <c r="A8" s="15" t="inlineStr">
        <is>
          <t>Offene Leads</t>
        </is>
      </c>
      <c r="B8" s="16">
        <f>COUNTIF('Lead-Tracking 2026'!Q4:Q2000,"Offen")</f>
        <v/>
      </c>
      <c r="C8" s="16">
        <f>COUNTIFS('Lead-Tracking 2026'!C4:C2000,"Daniel",'Lead-Tracking 2026'!Q4:Q2000,"Offen")</f>
        <v/>
      </c>
      <c r="D8" s="16">
        <f>COUNTIFS('Lead-Tracking 2026'!C4:C2000,"Jonas",'Lead-Tracking 2026'!Q4:Q2000,"Offen")</f>
        <v/>
      </c>
      <c r="E8" s="16">
        <f>COUNTIFS('Lead-Tracking 2026'!C4:C2000,"Angie",'Lead-Tracking 2026'!Q4:Q2000,"Offen")</f>
        <v/>
      </c>
      <c r="F8" s="16">
        <f>COUNTIFS('Lead-Tracking 2026'!C4:C2000,"Norbert",'Lead-Tracking 2026'!Q4:Q2000,"Offen")</f>
        <v/>
      </c>
    </row>
    <row r="9" ht="22" customHeight="1">
      <c r="A9" s="13" t="inlineStr">
        <is>
          <t>Verluste</t>
        </is>
      </c>
      <c r="B9" s="14">
        <f>COUNTIF('Lead-Tracking 2026'!Q4:Q2000,"Nein")</f>
        <v/>
      </c>
      <c r="C9" s="14">
        <f>COUNTIFS('Lead-Tracking 2026'!C4:C2000,"Daniel",'Lead-Tracking 2026'!Q4:Q2000,"Nein")</f>
        <v/>
      </c>
      <c r="D9" s="14">
        <f>COUNTIFS('Lead-Tracking 2026'!C4:C2000,"Jonas",'Lead-Tracking 2026'!Q4:Q2000,"Nein")</f>
        <v/>
      </c>
      <c r="E9" s="14">
        <f>COUNTIFS('Lead-Tracking 2026'!C4:C2000,"Angie",'Lead-Tracking 2026'!Q4:Q2000,"Nein")</f>
        <v/>
      </c>
      <c r="F9" s="14">
        <f>COUNTIFS('Lead-Tracking 2026'!C4:C2000,"Norbert",'Lead-Tracking 2026'!Q4:Q2000,"Nein")</f>
        <v/>
      </c>
    </row>
    <row r="10" ht="22" customHeight="1">
      <c r="A10" s="15" t="inlineStr">
        <is>
          <t>Heimchecks angelegt</t>
        </is>
      </c>
      <c r="B10" s="16">
        <f>COUNTIF('Lead-Tracking 2026'!M4:M2000,"Heimcheck angelegt")</f>
        <v/>
      </c>
      <c r="C10" s="16">
        <f>COUNTIFS('Lead-Tracking 2026'!C4:C2000,"Daniel",'Lead-Tracking 2026'!M4:M2000,"Heimcheck angelegt")</f>
        <v/>
      </c>
      <c r="D10" s="16">
        <f>COUNTIFS('Lead-Tracking 2026'!C4:C2000,"Jonas",'Lead-Tracking 2026'!M4:M2000,"Heimcheck angelegt")</f>
        <v/>
      </c>
      <c r="E10" s="16">
        <f>COUNTIFS('Lead-Tracking 2026'!C4:C2000,"Angie",'Lead-Tracking 2026'!M4:M2000,"Heimcheck angelegt")</f>
        <v/>
      </c>
      <c r="F10" s="16">
        <f>COUNTIFS('Lead-Tracking 2026'!C4:C2000,"Norbert",'Lead-Tracking 2026'!M4:M2000,"Heimcheck angelegt")</f>
        <v/>
      </c>
    </row>
    <row r="11" ht="22" customHeight="1">
      <c r="A11" s="13" t="inlineStr">
        <is>
          <t>Umsatz realisiert (EUR)</t>
        </is>
      </c>
      <c r="B11" s="18">
        <f>SUMIF('Lead-Tracking 2026'!Q4:Q2000,"Ja",'Lead-Tracking 2026'!P4:P2000)</f>
        <v/>
      </c>
      <c r="C11" s="18">
        <f>SUMIFS('Lead-Tracking 2026'!P4:P2000,'Lead-Tracking 2026'!C4:C2000,"Daniel",'Lead-Tracking 2026'!Q4:Q2000,"Ja")</f>
        <v/>
      </c>
      <c r="D11" s="18">
        <f>SUMIFS('Lead-Tracking 2026'!P4:P2000,'Lead-Tracking 2026'!C4:C2000,"Jonas",'Lead-Tracking 2026'!Q4:Q2000,"Ja")</f>
        <v/>
      </c>
      <c r="E11" s="18">
        <f>SUMIFS('Lead-Tracking 2026'!P4:P2000,'Lead-Tracking 2026'!C4:C2000,"Angie",'Lead-Tracking 2026'!Q4:Q2000,"Ja")</f>
        <v/>
      </c>
      <c r="F11" s="18">
        <f>SUMIFS('Lead-Tracking 2026'!P4:P2000,'Lead-Tracking 2026'!C4:C2000,"Norbert",'Lead-Tracking 2026'!Q4:Q2000,"Ja")</f>
        <v/>
      </c>
    </row>
    <row r="12" ht="22" customHeight="1">
      <c r="A12" s="15" t="inlineStr">
        <is>
          <t>Umsatz Pipeline offen (EUR)</t>
        </is>
      </c>
      <c r="B12" s="19">
        <f>SUMIF('Lead-Tracking 2026'!Q4:Q2000,"Offen",'Lead-Tracking 2026'!P4:P2000)</f>
        <v/>
      </c>
      <c r="C12" s="19">
        <f>SUMIFS('Lead-Tracking 2026'!P4:P2000,'Lead-Tracking 2026'!C4:C2000,"Daniel",'Lead-Tracking 2026'!Q4:Q2000,"Offen")</f>
        <v/>
      </c>
      <c r="D12" s="19">
        <f>SUMIFS('Lead-Tracking 2026'!P4:P2000,'Lead-Tracking 2026'!C4:C2000,"Jonas",'Lead-Tracking 2026'!Q4:Q2000,"Offen")</f>
        <v/>
      </c>
      <c r="E12" s="19">
        <f>SUMIFS('Lead-Tracking 2026'!P4:P2000,'Lead-Tracking 2026'!C4:C2000,"Angie",'Lead-Tracking 2026'!Q4:Q2000,"Offen")</f>
        <v/>
      </c>
      <c r="F12" s="19">
        <f>SUMIFS('Lead-Tracking 2026'!P4:P2000,'Lead-Tracking 2026'!C4:C2000,"Norbert",'Lead-Tracking 2026'!Q4:Q2000,"Offen")</f>
        <v/>
      </c>
    </row>
    <row r="13" ht="22" customHeight="1">
      <c r="A13" s="13" t="inlineStr">
        <is>
          <t>Durchschn. Angebotswert (EUR)</t>
        </is>
      </c>
      <c r="B13" s="18">
        <f>IFERROR(AVERAGEIF('Lead-Tracking 2026'!P4:P2000,"&gt;"&amp;0),"—")</f>
        <v/>
      </c>
      <c r="C13" s="18">
        <f>IFERROR(AVERAGEIFS('Lead-Tracking 2026'!P4:P2000,'Lead-Tracking 2026'!C4:C2000,"Daniel",'Lead-Tracking 2026'!P4:P2000,"&gt;"&amp;0),"—")</f>
        <v/>
      </c>
      <c r="D13" s="18">
        <f>IFERROR(AVERAGEIFS('Lead-Tracking 2026'!P4:P2000,'Lead-Tracking 2026'!C4:C2000,"Jonas",'Lead-Tracking 2026'!P4:P2000,"&gt;"&amp;0),"—")</f>
        <v/>
      </c>
      <c r="E13" s="18">
        <f>IFERROR(AVERAGEIFS('Lead-Tracking 2026'!P4:P2000,'Lead-Tracking 2026'!C4:C2000,"Angie",'Lead-Tracking 2026'!P4:P2000,"&gt;"&amp;0),"—")</f>
        <v/>
      </c>
      <c r="F13" s="18">
        <f>IFERROR(AVERAGEIFS('Lead-Tracking 2026'!P4:P2000,'Lead-Tracking 2026'!C4:C2000,"Norbert",'Lead-Tracking 2026'!P4:P2000,"&gt;"&amp;0),"—")</f>
        <v/>
      </c>
    </row>
    <row r="14" ht="22" customHeight="1">
      <c r="A14" s="15" t="inlineStr">
        <is>
          <t>Ueberfaellige Leads (!)</t>
        </is>
      </c>
      <c r="B14" s="16">
        <f>COUNTIFS('Lead-Tracking 2026'!O4:O2000,"&lt;"&amp;TODAY(),'Lead-Tracking 2026'!Q4:Q2000,"Offen")</f>
        <v/>
      </c>
      <c r="C14" s="16">
        <f>COUNTIFS('Lead-Tracking 2026'!C4:C2000,"Daniel",'Lead-Tracking 2026'!O4:O2000,"&lt;"&amp;TODAY(),'Lead-Tracking 2026'!Q4:Q2000,"Offen")</f>
        <v/>
      </c>
      <c r="D14" s="16">
        <f>COUNTIFS('Lead-Tracking 2026'!C4:C2000,"Jonas",'Lead-Tracking 2026'!O4:O2000,"&lt;"&amp;TODAY(),'Lead-Tracking 2026'!Q4:Q2000,"Offen")</f>
        <v/>
      </c>
      <c r="E14" s="16">
        <f>COUNTIFS('Lead-Tracking 2026'!C4:C2000,"Angie",'Lead-Tracking 2026'!O4:O2000,"&lt;"&amp;TODAY(),'Lead-Tracking 2026'!Q4:Q2000,"Offen")</f>
        <v/>
      </c>
      <c r="F14" s="16">
        <f>COUNTIFS('Lead-Tracking 2026'!C4:C2000,"Norbert",'Lead-Tracking 2026'!O4:O2000,"&lt;"&amp;TODAY(),'Lead-Tracking 2026'!Q4:Q2000,"Offen")</f>
        <v/>
      </c>
    </row>
    <row r="16" ht="22" customHeight="1">
      <c r="A16" s="20" t="inlineStr">
        <is>
          <t>VERLUSTANALYSE</t>
        </is>
      </c>
    </row>
    <row r="17" ht="20" customHeight="1">
      <c r="A17" s="21" t="inlineStr">
        <is>
          <t>Online</t>
        </is>
      </c>
      <c r="B17" s="22">
        <f>COUNTIF('Lead-Tracking 2026'!R4:R2000,A17)</f>
        <v/>
      </c>
      <c r="C17" s="23" t="n"/>
      <c r="D17" s="23" t="n"/>
      <c r="E17" s="23" t="n"/>
      <c r="F17" s="23" t="n"/>
    </row>
    <row r="18" ht="20" customHeight="1">
      <c r="A18" s="24" t="inlineStr">
        <is>
          <t>Preis</t>
        </is>
      </c>
      <c r="B18" s="25">
        <f>COUNTIF('Lead-Tracking 2026'!R4:R2000,A18)</f>
        <v/>
      </c>
      <c r="C18" s="26" t="n"/>
      <c r="D18" s="26" t="n"/>
      <c r="E18" s="26" t="n"/>
      <c r="F18" s="26" t="n"/>
    </row>
    <row r="19" ht="20" customHeight="1">
      <c r="A19" s="21" t="inlineStr">
        <is>
          <t>Kein Bedarf</t>
        </is>
      </c>
      <c r="B19" s="22">
        <f>COUNTIF('Lead-Tracking 2026'!R4:R2000,A19)</f>
        <v/>
      </c>
      <c r="C19" s="23" t="n"/>
      <c r="D19" s="23" t="n"/>
      <c r="E19" s="23" t="n"/>
      <c r="F19" s="23" t="n"/>
    </row>
    <row r="20" ht="20" customHeight="1">
      <c r="A20" s="24" t="inlineStr">
        <is>
          <t>Konkurrenz</t>
        </is>
      </c>
      <c r="B20" s="25">
        <f>COUNTIF('Lead-Tracking 2026'!R4:R2000,A20)</f>
        <v/>
      </c>
      <c r="C20" s="26" t="n"/>
      <c r="D20" s="26" t="n"/>
      <c r="E20" s="26" t="n"/>
      <c r="F20" s="26" t="n"/>
    </row>
    <row r="21" ht="20" customHeight="1">
      <c r="A21" s="21" t="inlineStr">
        <is>
          <t>Keine Rueckmeldung</t>
        </is>
      </c>
      <c r="B21" s="22">
        <f>COUNTIF('Lead-Tracking 2026'!R4:R2000,A21)</f>
        <v/>
      </c>
      <c r="C21" s="23" t="n"/>
      <c r="D21" s="23" t="n"/>
      <c r="E21" s="23" t="n"/>
      <c r="F21" s="23" t="n"/>
    </row>
  </sheetData>
  <mergeCells count="4">
    <mergeCell ref="A3:F3"/>
    <mergeCell ref="A2:F2"/>
    <mergeCell ref="A16:F16"/>
    <mergeCell ref="A1:F1"/>
  </mergeCells>
  <conditionalFormatting sqref="B14:F14">
    <cfRule type="expression" priority="1" dxfId="11">
      <formula>B14&gt;0</formula>
    </cfRule>
  </conditionalFormatting>
  <conditionalFormatting sqref="B7:F7">
    <cfRule type="expression" priority="2" dxfId="12">
      <formula>ISNUMBER(B7)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 ht="38" customHeight="1">
      <c r="A1" s="1" t="inlineStr">
        <is>
          <t>FITSHOP</t>
        </is>
      </c>
    </row>
    <row r="2" ht="18" customHeight="1">
      <c r="A2" s="2" t="inlineStr">
        <is>
          <t>LEGENDE &amp; REFERENZ 2026  ·  Hall/Tirol</t>
        </is>
      </c>
    </row>
    <row r="4" ht="22" customHeight="1">
      <c r="A4" s="20" t="inlineStr">
        <is>
          <t>KUNDENTYPEN (Dropdown: Typ)</t>
        </is>
      </c>
    </row>
    <row r="5" ht="20" customHeight="1">
      <c r="A5" s="27" t="inlineStr">
        <is>
          <t>Kuerzel</t>
        </is>
      </c>
      <c r="B5" s="27" t="inlineStr">
        <is>
          <t>Beschreibung</t>
        </is>
      </c>
      <c r="C5" s="27" t="inlineStr">
        <is>
          <t>Strategie</t>
        </is>
      </c>
    </row>
    <row r="6" ht="18" customHeight="1">
      <c r="A6" s="5" t="inlineStr">
        <is>
          <t>A – Sofortkaeufer</t>
        </is>
      </c>
      <c r="B6" s="5" t="inlineStr">
        <is>
          <t>Kauft heute, kein Heimcheck</t>
        </is>
      </c>
      <c r="C6" s="5" t="inlineStr">
        <is>
          <t>Direktabschluss</t>
        </is>
      </c>
    </row>
    <row r="7" ht="18" customHeight="1">
      <c r="A7" s="8" t="inlineStr">
        <is>
          <t>B – Logischer Pruefer</t>
        </is>
      </c>
      <c r="B7" s="8" t="inlineStr">
        <is>
          <t>Will Fakten, muss Masse nehmen</t>
        </is>
      </c>
      <c r="C7" s="8" t="inlineStr">
        <is>
          <t>Heimcheck vereinbaren</t>
        </is>
      </c>
    </row>
    <row r="8" ht="18" customHeight="1">
      <c r="A8" s="5" t="inlineStr">
        <is>
          <t>C – Unsicherer</t>
        </is>
      </c>
      <c r="B8" s="5" t="inlineStr">
        <is>
          <t>Braucht Bestaetigung oder Partner</t>
        </is>
      </c>
      <c r="C8" s="5" t="inlineStr">
        <is>
          <t>Partner einladen</t>
        </is>
      </c>
    </row>
    <row r="9" ht="18" customHeight="1">
      <c r="A9" s="8" t="inlineStr">
        <is>
          <t>D – Preisfokussierter</t>
        </is>
      </c>
      <c r="B9" s="8" t="inlineStr">
        <is>
          <t>Vergleicht online, Budget-sensibel</t>
        </is>
      </c>
      <c r="C9" s="8" t="inlineStr">
        <is>
          <t>Mehrwert zeigen</t>
        </is>
      </c>
    </row>
    <row r="10" ht="18" customHeight="1">
      <c r="A10" s="5" t="inlineStr">
        <is>
          <t>E – Raumplaner</t>
        </is>
      </c>
      <c r="B10" s="5" t="inlineStr">
        <is>
          <t>Raum noch nicht fertig</t>
        </is>
      </c>
      <c r="C10" s="5" t="inlineStr">
        <is>
          <t>Wiedervorlage in X Mon.</t>
        </is>
      </c>
    </row>
    <row r="11" ht="18" customHeight="1">
      <c r="A11" s="8" t="inlineStr">
        <is>
          <t>F – Gesundheitskunde</t>
        </is>
      </c>
      <c r="B11" s="8" t="inlineStr">
        <is>
          <t>Arzt-/Reha-Empfehlung</t>
        </is>
      </c>
      <c r="C11" s="8" t="inlineStr">
        <is>
          <t>Empfehlung aufgreifen</t>
        </is>
      </c>
    </row>
    <row r="12" ht="18" customHeight="1">
      <c r="A12" s="5" t="inlineStr">
        <is>
          <t>G – Geschenkekaeufer</t>
        </is>
      </c>
      <c r="B12" s="5" t="inlineStr">
        <is>
          <t>Kauft fuer jemand anderen</t>
        </is>
      </c>
      <c r="C12" s="5" t="inlineStr">
        <is>
          <t>Direkt zum Abschluss</t>
        </is>
      </c>
    </row>
    <row r="13" ht="18" customHeight="1">
      <c r="A13" s="8" t="inlineStr">
        <is>
          <t>H – Wiederkaeeufer</t>
        </is>
      </c>
      <c r="B13" s="8" t="inlineStr">
        <is>
          <t>Kennt Fitshop schon</t>
        </is>
      </c>
      <c r="C13" s="8" t="inlineStr">
        <is>
          <t>Upgrade / Ergaenzung</t>
        </is>
      </c>
    </row>
    <row r="14" ht="18" customHeight="1">
      <c r="A14" s="5" t="inlineStr">
        <is>
          <t>I – Profi/Enthusiast</t>
        </is>
      </c>
      <c r="B14" s="5" t="inlineStr">
        <is>
          <t>Sehr technisch, viel Ahnung</t>
        </is>
      </c>
      <c r="C14" s="5" t="inlineStr">
        <is>
          <t>Auf Augenhoehe beraten</t>
        </is>
      </c>
    </row>
    <row r="15" ht="18" customHeight="1">
      <c r="A15" s="8" t="inlineStr">
        <is>
          <t>J – B2B/Verein</t>
        </is>
      </c>
      <c r="B15" s="8" t="inlineStr">
        <is>
          <t>Unternehmen, Hotel, Schule, Verein</t>
        </is>
      </c>
      <c r="C15" s="8" t="inlineStr">
        <is>
          <t>Angebot + Termin</t>
        </is>
      </c>
    </row>
    <row r="17" ht="22" customHeight="1">
      <c r="A17" s="20" t="inlineStr">
        <is>
          <t>EINWANDTYPEN (Dropdown: Einwand)</t>
        </is>
      </c>
    </row>
    <row r="18" ht="20" customHeight="1">
      <c r="A18" s="27" t="inlineStr">
        <is>
          <t>Code</t>
        </is>
      </c>
      <c r="B18" s="27" t="inlineStr">
        <is>
          <t>Kunden-Formulierung / Bedeutung</t>
        </is>
      </c>
      <c r="C18" s="27" t="inlineStr">
        <is>
          <t>Naechster Schritt</t>
        </is>
      </c>
    </row>
    <row r="19" ht="18" customHeight="1">
      <c r="A19" s="8" t="inlineStr">
        <is>
          <t>E1 – Masse</t>
        </is>
      </c>
      <c r="B19" s="8" t="inlineStr">
        <is>
          <t>Masse unklar / muss noch ausmessen</t>
        </is>
      </c>
      <c r="C19" s="8" t="inlineStr">
        <is>
          <t>Heimcheck vereinbaren</t>
        </is>
      </c>
    </row>
    <row r="20" ht="18" customHeight="1">
      <c r="A20" s="5" t="inlineStr">
        <is>
          <t>E2 – Partner</t>
        </is>
      </c>
      <c r="B20" s="5" t="inlineStr">
        <is>
          <t>Partner fehlt / muss noch mit Frau reden</t>
        </is>
      </c>
      <c r="C20" s="5" t="inlineStr">
        <is>
          <t>2. Besuch mit Partner</t>
        </is>
      </c>
    </row>
    <row r="21" ht="18" customHeight="1">
      <c r="A21" s="8" t="inlineStr">
        <is>
          <t>E3 – Budget</t>
        </is>
      </c>
      <c r="B21" s="8" t="inlineStr">
        <is>
          <t>Preis zu hoch / muss noch schauen</t>
        </is>
      </c>
      <c r="C21" s="8" t="inlineStr">
        <is>
          <t>Finanzierung zeigen</t>
        </is>
      </c>
    </row>
    <row r="22" ht="18" customHeight="1">
      <c r="A22" s="5" t="inlineStr">
        <is>
          <t>E4 – Qualitaet</t>
        </is>
      </c>
      <c r="B22" s="5" t="inlineStr">
        <is>
          <t>Zweifel an Produkt oder Marke</t>
        </is>
      </c>
      <c r="C22" s="5" t="inlineStr">
        <is>
          <t>Testfahrt, Garantie</t>
        </is>
      </c>
    </row>
    <row r="23" ht="18" customHeight="1">
      <c r="A23" s="8" t="inlineStr">
        <is>
          <t>E5 – Raum</t>
        </is>
      </c>
      <c r="B23" s="8" t="inlineStr">
        <is>
          <t>Raum nicht fertig / muss noch schauen obs reinpasst</t>
        </is>
      </c>
      <c r="C23" s="8" t="inlineStr">
        <is>
          <t>Wiedervorlage</t>
        </is>
      </c>
    </row>
    <row r="24" ht="18" customHeight="1">
      <c r="A24" s="5" t="inlineStr">
        <is>
          <t>E6 – Nutzung</t>
        </is>
      </c>
      <c r="B24" s="5" t="inlineStr">
        <is>
          <t>Unsicher ob Geraet zum Training passt</t>
        </is>
      </c>
      <c r="C24" s="5" t="inlineStr">
        <is>
          <t>Nutzungsanalyse</t>
        </is>
      </c>
    </row>
    <row r="25" ht="18" customHeight="1">
      <c r="A25" s="8" t="inlineStr">
        <is>
          <t>E7 – Dringlichkeit</t>
        </is>
      </c>
      <c r="B25" s="8" t="inlineStr">
        <is>
          <t>Kein Zeitdruck, kein Anlass</t>
        </is>
      </c>
      <c r="C25" s="8" t="inlineStr">
        <is>
          <t>Anlass schaffen</t>
        </is>
      </c>
    </row>
    <row r="26" ht="18" customHeight="1">
      <c r="A26" s="5" t="inlineStr">
        <is>
          <t>E8 – Ausmessen</t>
        </is>
      </c>
      <c r="B26" s="5" t="inlineStr">
        <is>
          <t>Muss noch ausmessen (= Masse, Heimcheck)</t>
        </is>
      </c>
      <c r="C26" s="5" t="inlineStr">
        <is>
          <t>Heimcheck Termin</t>
        </is>
      </c>
    </row>
    <row r="27" ht="18" customHeight="1">
      <c r="A27" s="8" t="inlineStr">
        <is>
          <t>E9 – Frau fragen</t>
        </is>
      </c>
      <c r="B27" s="8" t="inlineStr">
        <is>
          <t>Muss noch mit Frau/Partner reden</t>
        </is>
      </c>
      <c r="C27" s="8" t="inlineStr">
        <is>
          <t>2. Besuch einladen</t>
        </is>
      </c>
    </row>
    <row r="28" ht="18" customHeight="1">
      <c r="A28" s="5" t="inlineStr">
        <is>
          <t>E10 – Passt es rein</t>
        </is>
      </c>
      <c r="B28" s="5" t="inlineStr">
        <is>
          <t>Muss noch schauen obs reinpasst (Masse/Raum)</t>
        </is>
      </c>
      <c r="C28" s="5" t="inlineStr">
        <is>
          <t>Heimcheck + Masse</t>
        </is>
      </c>
    </row>
    <row r="30" ht="22" customHeight="1">
      <c r="A30" s="20" t="inlineStr">
        <is>
          <t>AMPEL-LEGENDE (Spalte A)</t>
        </is>
      </c>
    </row>
    <row r="31" ht="18" customHeight="1">
      <c r="A31" s="28" t="inlineStr">
        <is>
          <t>ok</t>
        </is>
      </c>
      <c r="B31" s="29" t="inlineStr">
        <is>
          <t>Check-Datum liegt in &gt; 2 Tagen – alles im Plan</t>
        </is>
      </c>
    </row>
    <row r="32" ht="18" customHeight="1">
      <c r="A32" s="30" t="inlineStr">
        <is>
          <t>~</t>
        </is>
      </c>
      <c r="B32" s="31" t="inlineStr">
        <is>
          <t>Check-Datum heute oder morgen – sofort handeln</t>
        </is>
      </c>
    </row>
    <row r="33" ht="18" customHeight="1">
      <c r="A33" s="32" t="inlineStr">
        <is>
          <t>!</t>
        </is>
      </c>
      <c r="B33" s="33" t="inlineStr">
        <is>
          <t>Check-Datum ueberschritten – dringend nachfassen!</t>
        </is>
      </c>
    </row>
    <row r="34" ht="18" customHeight="1">
      <c r="A34" s="34" t="inlineStr">
        <is>
          <t>o</t>
        </is>
      </c>
      <c r="B34" s="35" t="inlineStr">
        <is>
          <t>Abgeschlossen / Verloren / Wartet – kein Follow-up</t>
        </is>
      </c>
    </row>
    <row r="36" ht="22" customHeight="1">
      <c r="A36" s="20" t="inlineStr">
        <is>
          <t>STATUS-FARBKODIERUNG</t>
        </is>
      </c>
    </row>
    <row r="37" ht="18" customHeight="1">
      <c r="A37" s="36" t="inlineStr">
        <is>
          <t>Kauf abgeschlossen</t>
        </is>
      </c>
      <c r="B37" s="29" t="inlineStr">
        <is>
          <t>Abgeschlossen, kein Follow-up</t>
        </is>
      </c>
    </row>
    <row r="38" ht="18" customHeight="1">
      <c r="A38" s="37" t="inlineStr">
        <is>
          <t>Heimcheck angelegt</t>
        </is>
      </c>
      <c r="B38" s="38" t="inlineStr">
        <is>
          <t>Naechster Schritt: Check-Anruf</t>
        </is>
      </c>
    </row>
    <row r="39" ht="18" customHeight="1">
      <c r="A39" s="39" t="inlineStr">
        <is>
          <t>Entscheidungscheck geplant</t>
        </is>
      </c>
      <c r="B39" s="31" t="inlineStr">
        <is>
          <t>Kurz vor Abschluss – nachfassen</t>
        </is>
      </c>
    </row>
    <row r="40" ht="18" customHeight="1">
      <c r="A40" s="40" t="inlineStr">
        <is>
          <t>Angebot konkret</t>
        </is>
      </c>
      <c r="B40" s="41" t="inlineStr">
        <is>
          <t>Angebot liegt vor</t>
        </is>
      </c>
    </row>
    <row r="41" ht="18" customHeight="1">
      <c r="A41" s="42" t="inlineStr">
        <is>
          <t>Verloren</t>
        </is>
      </c>
      <c r="B41" s="33" t="inlineStr">
        <is>
          <t>Lead verloren – Verlustgrund eintragen</t>
        </is>
      </c>
    </row>
    <row r="42" ht="18" customHeight="1">
      <c r="A42" s="43" t="inlineStr">
        <is>
          <t>Warten auf Raum</t>
        </is>
      </c>
      <c r="B42" s="35" t="inlineStr">
        <is>
          <t>Wiedervorlage in Monaten</t>
        </is>
      </c>
    </row>
  </sheetData>
  <mergeCells count="16">
    <mergeCell ref="B39:C39"/>
    <mergeCell ref="B38:C38"/>
    <mergeCell ref="A36:C36"/>
    <mergeCell ref="B33:C33"/>
    <mergeCell ref="A1:C1"/>
    <mergeCell ref="B34:C34"/>
    <mergeCell ref="B37:C37"/>
    <mergeCell ref="B42:C42"/>
    <mergeCell ref="A17:C17"/>
    <mergeCell ref="B32:C32"/>
    <mergeCell ref="A30:C30"/>
    <mergeCell ref="B31:C31"/>
    <mergeCell ref="B40:C40"/>
    <mergeCell ref="B41:C4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2026-06-03T10:48:18Z</dcterms:created>
  <dcterms:modified xsi:type="dcterms:W3CDTF">2026-06-03T10:48:19Z</dcterms:modified>
</cp:coreProperties>
</file>