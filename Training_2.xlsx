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6_Dashboard" sheetId="1" state="visible" r:id="rId1"/>
    <sheet name="B6_Schedule" sheetId="2" state="visible" r:id="rId2"/>
    <sheet name="B6_Plan_Detail" sheetId="3" state="visible" r:id="rId3"/>
    <sheet name="B6_Exercise_Library" sheetId="4" state="visible" r:id="rId4"/>
    <sheet name="B6_Training_Log" sheetId="5" state="visible" r:id="rId5"/>
    <sheet name="B6_Nutrition_Targets" sheetId="6" state="visible" r:id="rId6"/>
    <sheet name="B6_Rules" sheetId="7" state="visible" r:id="rId7"/>
    <sheet name="B6_Weekly_Summary" sheetId="8" state="visible" r:id="rId8"/>
    <sheet name="Log_Guide" sheetId="9" state="visible" r:id="rId9"/>
  </sheets>
  <definedNames>
    <definedName name="ExerciseIDs">B6_Exercise_Library!$A$4:$A$43</definedName>
    <definedName name="DayTypes">B6_Exercise_Library!$K$4:$K$9</definedName>
    <definedName name="BlockCode">B6_Dashboard!$B$3</definedName>
    <definedName name="BW">B6_Nutrition_Targets!$B$4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;-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0000"/>
      <sz val="12"/>
    </font>
    <font>
      <name val="Arial"/>
      <b val="1"/>
      <color rgb="001F3864"/>
      <sz val="11"/>
    </font>
    <font>
      <name val="Arial"/>
      <i val="1"/>
      <color rgb="00000000"/>
      <sz val="8"/>
    </font>
    <font>
      <name val="Arial"/>
      <b val="1"/>
      <color rgb="009C0006"/>
      <sz val="9"/>
    </font>
    <font>
      <name val="Arial"/>
      <color rgb="000563C1"/>
      <sz val="9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F2F6FC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DFF5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580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5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1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top" wrapText="1"/>
    </xf>
    <xf numFmtId="0" fontId="4" fillId="14" borderId="1" applyAlignment="1" pivotButton="0" quotePrefix="0" xfId="0">
      <alignment horizontal="left" vertical="top" wrapText="1"/>
    </xf>
    <xf numFmtId="0" fontId="4" fillId="15" borderId="1" applyAlignment="1" pivotButton="0" quotePrefix="0" xfId="0">
      <alignment horizontal="left" vertical="top" wrapText="1"/>
    </xf>
    <xf numFmtId="0" fontId="4" fillId="16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ill>
        <patternFill patternType="solid">
          <fgColor rgb="00FFD580"/>
        </patternFill>
      </fill>
    </dxf>
    <dxf>
      <fill>
        <patternFill patternType="solid">
          <fgColor rgb="00FFC7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006100"/>
        <sz val="1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blLib" displayName="tblLib" ref="A3:H43" headerRowCount="1">
  <autoFilter ref="A3:H43"/>
  <tableColumns count="8">
    <tableColumn id="1" name="ExerciseID"/>
    <tableColumn id="2" name="Aliases"/>
    <tableColumn id="3" name="DisplayName"/>
    <tableColumn id="4" name="Category"/>
    <tableColumn id="5" name="MuscleTag"/>
    <tableColumn id="6" name="TracksLoad"/>
    <tableColumn id="7" name="TracksHold"/>
    <tableColumn id="8" name="TracksSi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Log" displayName="tblLog" ref="A1:P2" headerRowCount="1">
  <tableColumns count="16">
    <tableColumn id="1" name="Date"/>
    <tableColumn id="2" name="DayType"/>
    <tableColumn id="3" name="Week"/>
    <tableColumn id="4" name="ExerciseID"/>
    <tableColumn id="5" name="Category">
      <calculatedColumnFormula>IFERROR(XLOOKUP([@ExerciseID],tblLib[ExerciseID],tblLib[Category]),"")</calculatedColumnFormula>
    </tableColumn>
    <tableColumn id="6" name="Side"/>
    <tableColumn id="7" name="Sets"/>
    <tableColumn id="8" name="Reps_or_Scheme"/>
    <tableColumn id="9" name="Load_kg"/>
    <tableColumn id="10" name="TopRPE"/>
    <tableColumn id="11" name="Pain_0_10"/>
    <tableColumn id="12" name="Quality_0_5"/>
    <tableColumn id="13" name="BestHold_s"/>
    <tableColumn id="14" name="CleanReps"/>
    <tableColumn id="15" name="Notes"/>
    <tableColumn id="16" name="Key">
      <calculatedColumnFormula>[@DayType]&amp;"_W"&amp;[@Week]</calculatedColumnFormula>
    </tableColumn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26" customWidth="1" min="4" max="4"/>
    <col width="40" customWidth="1" min="5" max="5"/>
    <col width="10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B6 — Performance-Block Dashboard (Hand Balancing / Calisthenics)</t>
        </is>
      </c>
      <c r="B1" s="2" t="n"/>
      <c r="C1" s="2" t="n"/>
      <c r="D1" s="2" t="n"/>
      <c r="E1" s="2" t="n"/>
      <c r="F1" s="2" t="n"/>
    </row>
    <row r="2"/>
    <row r="3">
      <c r="A3" s="3" t="inlineStr">
        <is>
          <t>Block =</t>
        </is>
      </c>
      <c r="B3" s="4" t="inlineStr">
        <is>
          <t>B6</t>
        </is>
      </c>
      <c r="C3" s="5" t="inlineStr">
        <is>
          <t>Folgeblock: diese Zelle auf B7 setzen, Sheets klonen, Prefix anpassen.</t>
        </is>
      </c>
      <c r="D3" s="6" t="n"/>
      <c r="E3" s="6" t="n"/>
      <c r="F3" s="7" t="n"/>
    </row>
    <row r="4"/>
    <row r="5">
      <c r="A5" s="8" t="inlineStr">
        <is>
          <t>Situationsbewertung</t>
        </is>
      </c>
      <c r="B5" s="9" t="n"/>
      <c r="C5" s="9" t="n"/>
      <c r="D5" s="9" t="n"/>
      <c r="E5" s="9" t="n"/>
      <c r="F5" s="9" t="n"/>
    </row>
    <row r="6">
      <c r="A6" s="10" t="inlineStr">
        <is>
          <t>•</t>
        </is>
      </c>
      <c r="B6" s="5" t="inlineStr">
        <is>
          <t>Fortgeschrittener, autodidaktischer Hand-Balancer (1,90 m, ~80,8 kg). Skills von Canes auf den Boden uebertragen.</t>
        </is>
      </c>
    </row>
    <row r="7">
      <c r="A7" s="10" t="inlineStr">
        <is>
          <t>•</t>
        </is>
      </c>
      <c r="B7" s="5" t="inlineStr">
        <is>
          <t>Erster Performance-Block nach 6-Monats-Diaet (90 -&gt; ~81 kg). Maintenance, KEIN Defizit, begrenzte Recovery.</t>
        </is>
      </c>
    </row>
    <row r="8">
      <c r="A8" s="10" t="inlineStr">
        <is>
          <t>•</t>
        </is>
      </c>
      <c r="B8" s="5" t="inlineStr">
        <is>
          <t>OAHS: links stabil, rechts limitiert (Schulter-Mobility/Koordination). Unilaterale Arbeit leicht zugunsten rechts.</t>
        </is>
      </c>
    </row>
    <row r="9">
      <c r="A9" s="10" t="inlineStr">
        <is>
          <t>•</t>
        </is>
      </c>
      <c r="B9" s="5" t="inlineStr">
        <is>
          <t>90 Push-up: 1 saubere Rep meist gut, 2. Rep sehr schwer. Ziel = 3 saubere Reps am Stueck.</t>
        </is>
      </c>
    </row>
    <row r="10">
      <c r="A10" s="10" t="inlineStr">
        <is>
          <t>•</t>
        </is>
      </c>
      <c r="B10" s="5" t="inlineStr">
        <is>
          <t>Ruecken (a) LWS/sakral: alte Reizung nach RDL/Deadlift, am Ausheilen -&gt; Hinge-Rebuild ueber Pain-Gates.</t>
        </is>
      </c>
    </row>
    <row r="11">
      <c r="A11" s="10" t="inlineStr">
        <is>
          <t>•</t>
        </is>
      </c>
      <c r="B11" s="5" t="inlineStr">
        <is>
          <t>Ruecken (b) BWS: Einklemm-Gefuehl mittig/oben, ohne Ausstrahlen -&gt; Mobility-/Tissue-Baustein, monitoren, KEINE Diagnose.</t>
        </is>
      </c>
    </row>
    <row r="12">
      <c r="A12" s="10" t="inlineStr">
        <is>
          <t>•</t>
        </is>
      </c>
      <c r="B12" s="5" t="inlineStr">
        <is>
          <t>Prinzip: Skill-Qualitaet + Gelenk-/Rueckengesundheit schlagen Volumen und Fatigue-PRs.</t>
        </is>
      </c>
    </row>
    <row r="13"/>
    <row r="14">
      <c r="A14" s="8" t="inlineStr">
        <is>
          <t>Zielhierarchie (skill-first; keine Wettkaempfe -&gt; Progress-Maximierung, Gesundheit als Constraint)</t>
        </is>
      </c>
      <c r="B14" s="9" t="n"/>
      <c r="C14" s="9" t="n"/>
      <c r="D14" s="9" t="n"/>
      <c r="E14" s="9" t="n"/>
      <c r="F14" s="9" t="n"/>
    </row>
    <row r="15">
      <c r="A15" s="5" t="inlineStr">
        <is>
          <t>1) 90 Push-up -&gt; 3 saubere Reps am Stueck (Hauptziel).</t>
        </is>
      </c>
    </row>
    <row r="16">
      <c r="A16" s="5" t="inlineStr">
        <is>
          <t>2) OAHS Shapes + Flag-Pfad (Straddle -&gt; Shapes; supported Pre-Flag -&gt; Sideline-Hold -&gt; reduzierter Support -&gt; seltene freie Versuche).</t>
        </is>
      </c>
    </row>
    <row r="17">
      <c r="A17" s="5" t="inlineStr">
        <is>
          <t>3) Modern-Handstand-Linie und weitere Shapes (Flieger/Figa offen, Fernziel, nicht erzwingen).</t>
        </is>
      </c>
    </row>
    <row r="18">
      <c r="A18" s="5" t="inlineStr">
        <is>
          <t>4) Kraftunterbau (Planche/Push/Pull) als Mittel zum Zweck fuer 1-3.</t>
        </is>
      </c>
    </row>
    <row r="19">
      <c r="A19" s="5" t="inlineStr">
        <is>
          <t>5) Hypertrophie nur soweit sie Skills oder Schultergesundheit stuetzt.</t>
        </is>
      </c>
    </row>
    <row r="20"/>
    <row r="21">
      <c r="A21" s="8" t="inlineStr">
        <is>
          <t>Wochen-Themen &amp; Volumen-Leitplanken (effektive harte Saetze/Woche)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11" t="inlineStr">
        <is>
          <t>Woche / Thema</t>
        </is>
      </c>
      <c r="B22" s="11" t="inlineStr">
        <is>
          <t>Push*</t>
        </is>
      </c>
      <c r="C22" s="11" t="inlineStr">
        <is>
          <t>Pull/Upper-Back</t>
        </is>
      </c>
      <c r="D22" s="11" t="inlineStr">
        <is>
          <t>Beine</t>
        </is>
      </c>
      <c r="E22" s="11" t="inlineStr">
        <is>
          <t>90-Touches</t>
        </is>
      </c>
      <c r="F22" s="11" t="inlineStr">
        <is>
          <t>OAHS-Bloecke</t>
        </is>
      </c>
      <c r="G22" s="11" t="inlineStr">
        <is>
          <t>Planche-Dosen</t>
        </is>
      </c>
    </row>
    <row r="23">
      <c r="A23" s="5" t="inlineStr">
        <is>
          <t>W1 Re-Entry / Baseline</t>
        </is>
      </c>
      <c r="B23" s="10" t="inlineStr">
        <is>
          <t>12-14</t>
        </is>
      </c>
      <c r="C23" s="10" t="inlineStr">
        <is>
          <t>14-16</t>
        </is>
      </c>
      <c r="D23" s="10" t="inlineStr">
        <is>
          <t>8-10</t>
        </is>
      </c>
      <c r="E23" s="10" t="inlineStr">
        <is>
          <t>3 (1 schwer / 2 leicht)</t>
        </is>
      </c>
      <c r="F23" s="10" t="inlineStr">
        <is>
          <t>3</t>
        </is>
      </c>
      <c r="G23" s="10" t="inlineStr">
        <is>
          <t>2</t>
        </is>
      </c>
    </row>
    <row r="24">
      <c r="A24" s="5" t="inlineStr">
        <is>
          <t>W2 Build</t>
        </is>
      </c>
      <c r="B24" s="10" t="inlineStr">
        <is>
          <t>14-16</t>
        </is>
      </c>
      <c r="C24" s="10" t="inlineStr">
        <is>
          <t>16-18</t>
        </is>
      </c>
      <c r="D24" s="10" t="inlineStr">
        <is>
          <t>10-12</t>
        </is>
      </c>
      <c r="E24" s="10" t="inlineStr">
        <is>
          <t>3</t>
        </is>
      </c>
      <c r="F24" s="10" t="inlineStr">
        <is>
          <t>3</t>
        </is>
      </c>
      <c r="G24" s="10" t="inlineStr">
        <is>
          <t>2-3</t>
        </is>
      </c>
    </row>
    <row r="25">
      <c r="A25" s="5" t="inlineStr">
        <is>
          <t>W3 Peak</t>
        </is>
      </c>
      <c r="B25" s="10" t="inlineStr">
        <is>
          <t>15-16</t>
        </is>
      </c>
      <c r="C25" s="10" t="inlineStr">
        <is>
          <t>17-18</t>
        </is>
      </c>
      <c r="D25" s="10" t="inlineStr">
        <is>
          <t>12-14</t>
        </is>
      </c>
      <c r="E25" s="10" t="inlineStr">
        <is>
          <t>3 (1 schwer / 2 assist)</t>
        </is>
      </c>
      <c r="F25" s="10" t="inlineStr">
        <is>
          <t>3</t>
        </is>
      </c>
      <c r="G25" s="10" t="inlineStr">
        <is>
          <t>3</t>
        </is>
      </c>
    </row>
    <row r="26">
      <c r="A26" s="5" t="inlineStr">
        <is>
          <t>W4 Consolidate / Test</t>
        </is>
      </c>
      <c r="B26" s="10" t="inlineStr">
        <is>
          <t>9-12</t>
        </is>
      </c>
      <c r="C26" s="10" t="inlineStr">
        <is>
          <t>10-12</t>
        </is>
      </c>
      <c r="D26" s="10" t="inlineStr">
        <is>
          <t>6-8</t>
        </is>
      </c>
      <c r="E26" s="10" t="inlineStr">
        <is>
          <t>2 (Quality-Test)</t>
        </is>
      </c>
      <c r="F26" s="10" t="inlineStr">
        <is>
          <t>beste Holds</t>
        </is>
      </c>
      <c r="G26" s="10" t="inlineStr">
        <is>
          <t>1</t>
        </is>
      </c>
    </row>
    <row r="27">
      <c r="A27" s="12" t="inlineStr">
        <is>
          <t>*Push zaehlt 90, Planche, Dips, HSPU, Vertikalpress zusammen. Taegliche Skill-Mikrodosis (6x/Woche) zaehlt NICHT ins harte Volumen.</t>
        </is>
      </c>
      <c r="B27" s="6" t="n"/>
      <c r="C27" s="6" t="n"/>
      <c r="D27" s="6" t="n"/>
      <c r="E27" s="6" t="n"/>
      <c r="F27" s="6" t="n"/>
      <c r="G27" s="7" t="n"/>
    </row>
    <row r="28"/>
    <row r="29">
      <c r="A29" s="8" t="inlineStr">
        <is>
          <t>Live-Metriken (Formeln aus Log / Weekly_Summary)</t>
        </is>
      </c>
      <c r="B29" s="9" t="n"/>
      <c r="C29" s="9" t="n"/>
      <c r="D29" s="9" t="n"/>
      <c r="E29" s="9" t="n"/>
    </row>
    <row r="30">
      <c r="A30" s="11" t="inlineStr">
        <is>
          <t>Metrik</t>
        </is>
      </c>
      <c r="B30" s="11" t="inlineStr">
        <is>
          <t>Wert</t>
        </is>
      </c>
      <c r="C30" s="11" t="inlineStr">
        <is>
          <t>Target</t>
        </is>
      </c>
      <c r="D30" s="11" t="inlineStr">
        <is>
          <t>Interpretation</t>
        </is>
      </c>
      <c r="E30" s="11" t="inlineStr">
        <is>
          <t>Action</t>
        </is>
      </c>
    </row>
    <row r="31">
      <c r="A31" s="13" t="inlineStr">
        <is>
          <t>Geloggte Zeilen gesamt</t>
        </is>
      </c>
      <c r="B31" s="14">
        <f>COUNTA(tblLog[Date])</f>
        <v/>
      </c>
      <c r="C31" s="10" t="inlineStr">
        <is>
          <t>wachsend</t>
        </is>
      </c>
      <c r="D31" s="5">
        <f>IF(B31=0,"noch leer",IF(B31&lt;10,"wenig Daten","laeuft"))</f>
        <v/>
      </c>
      <c r="E31" s="5" t="inlineStr">
        <is>
          <t>Taeglich 1 Zeile/Uebung anhaengen.</t>
        </is>
      </c>
    </row>
    <row r="32">
      <c r="A32" s="13" t="inlineStr">
        <is>
          <t>Ø TopRPE (Block)</t>
        </is>
      </c>
      <c r="B32" s="15">
        <f>IFERROR(AVERAGE(tblLog[TopRPE]),0)</f>
        <v/>
      </c>
      <c r="C32" s="10" t="inlineStr">
        <is>
          <t>7,0-8,5</t>
        </is>
      </c>
      <c r="D32" s="5">
        <f>IF(B32=0,"-",IF(B32&gt;8.7,"zu hoch",IF(B32&lt;6.5,"Luft nach oben","im Ziel")))</f>
        <v/>
      </c>
      <c r="E32" s="5" t="inlineStr">
        <is>
          <t>Wenn dauerhaft &gt;8,5: Akzessorik kuerzen, Skill frisch halten.</t>
        </is>
      </c>
    </row>
    <row r="33">
      <c r="A33" s="13" t="inlineStr">
        <is>
          <t>Ø Pain (Block)</t>
        </is>
      </c>
      <c r="B33" s="15">
        <f>IFERROR(AVERAGE(tblLog[Pain_0_10]),0)</f>
        <v/>
      </c>
      <c r="C33" s="10" t="inlineStr">
        <is>
          <t>&lt;2,5</t>
        </is>
      </c>
      <c r="D33" s="5">
        <f>IF(B33&lt;2.5,"OK",IF(B33&lt;3.5,"beobachten","regredieren"))</f>
        <v/>
      </c>
      <c r="E33" s="5" t="inlineStr">
        <is>
          <t>Pain &gt;3 oder Morgen schlechter -&gt; Stufe runter (Rules).</t>
        </is>
      </c>
    </row>
    <row r="34">
      <c r="A34" s="13" t="inlineStr">
        <is>
          <t>Pain-Flags ≥4</t>
        </is>
      </c>
      <c r="B34" s="14">
        <f>COUNTIF(tblLog[Pain_0_10],"&gt;=4")</f>
        <v/>
      </c>
      <c r="C34" s="10" t="inlineStr">
        <is>
          <t>0</t>
        </is>
      </c>
      <c r="D34" s="5">
        <f>IF(B34=0,"OK","STOP/abklaeren")</f>
        <v/>
      </c>
      <c r="E34" s="5" t="inlineStr">
        <is>
          <t>≥4 / scharf / neurologisch -&gt; Uebung stoppen, ggf. abklaeren.</t>
        </is>
      </c>
    </row>
    <row r="35">
      <c r="A35" s="13" t="inlineStr">
        <is>
          <t>Saubere 90-Reps gesamt</t>
        </is>
      </c>
      <c r="B35" s="14">
        <f>SUMIFS(tblLog[CleanReps],tblLog[ExerciseID],"90")</f>
        <v/>
      </c>
      <c r="C35" s="10" t="inlineStr">
        <is>
          <t>Trend hoch</t>
        </is>
      </c>
      <c r="D35" s="5">
        <f>IF(B35=0,"-","Fortschritt loggen")</f>
        <v/>
      </c>
      <c r="E35" s="5" t="inlineStr">
        <is>
          <t>Ziel: Rep 1 submaximal -&gt; Weg zu 3 sauberen Reps.</t>
        </is>
      </c>
    </row>
    <row r="36">
      <c r="A36" s="13" t="inlineStr">
        <is>
          <t>OAHS Best-Hold links (s)</t>
        </is>
      </c>
      <c r="B36" s="14">
        <f>MAXIFS(tblLog[BestHold_s],tblLog[Category],"SkillOAHS",tblLog[Side],"L")</f>
        <v/>
      </c>
      <c r="C36" s="10" t="inlineStr">
        <is>
          <t>Trend hoch</t>
        </is>
      </c>
      <c r="D36" s="5">
        <f>IF(B36=0,"-",IF(B36&gt;=5,"stabil","aufbauen"))</f>
        <v/>
      </c>
      <c r="E36" s="5" t="inlineStr">
        <is>
          <t>Nur saubere Holds zaehlen.</t>
        </is>
      </c>
    </row>
    <row r="37">
      <c r="A37" s="13" t="inlineStr">
        <is>
          <t>OAHS Best-Hold rechts (s)</t>
        </is>
      </c>
      <c r="B37" s="14">
        <f>MAXIFS(tblLog[BestHold_s],tblLog[Category],"SkillOAHS",tblLog[Side],"R")</f>
        <v/>
      </c>
      <c r="C37" s="10" t="inlineStr">
        <is>
          <t>naeher an links</t>
        </is>
      </c>
      <c r="D37" s="5">
        <f>IF(B37=0,"-",IF(B37&gt;=MAXIFS(tblLog[BestHold_s],tblLog[Category],"SkillOAHS",tblLog[Side],"L")*0.7,"Asymmetrie ok","rechts priorisieren"))</f>
        <v/>
      </c>
      <c r="E37" s="5" t="inlineStr">
        <is>
          <t>Rechts mehr Reps/Holds, Overhead/BWS-Mobility.</t>
        </is>
      </c>
    </row>
    <row r="38">
      <c r="A38" s="13" t="inlineStr">
        <is>
          <t>Flag Best-Hold links (s)</t>
        </is>
      </c>
      <c r="B38" s="14">
        <f>MAXIFS(tblLog[BestHold_s],tblLog[Category],"SkillFlag",tblLog[Side],"L")</f>
        <v/>
      </c>
      <c r="C38" s="10" t="inlineStr">
        <is>
          <t>Trend hoch</t>
        </is>
      </c>
      <c r="D38" s="5">
        <f>IF(B38=0,"-","Support reduzieren wenn sauber")</f>
        <v/>
      </c>
      <c r="E38" s="5" t="inlineStr">
        <is>
          <t>Support nur reduzieren bei sauberem Re-Entry.</t>
        </is>
      </c>
    </row>
    <row r="39">
      <c r="A39" s="13" t="inlineStr">
        <is>
          <t>Flag Best-Hold rechts (s)</t>
        </is>
      </c>
      <c r="B39" s="14">
        <f>MAXIFS(tblLog[BestHold_s],tblLog[Category],"SkillFlag",tblLog[Side],"R")</f>
        <v/>
      </c>
      <c r="C39" s="10" t="inlineStr">
        <is>
          <t>Trend hoch</t>
        </is>
      </c>
      <c r="D39" s="5">
        <f>IF(B39=0,"-","Support reduzieren wenn sauber")</f>
        <v/>
      </c>
      <c r="E39" s="5" t="inlineStr">
        <is>
          <t>Kontrollierter Return Pflicht.</t>
        </is>
      </c>
    </row>
  </sheetData>
  <mergeCells count="19">
    <mergeCell ref="A16:F16"/>
    <mergeCell ref="B7:F7"/>
    <mergeCell ref="A18:F18"/>
    <mergeCell ref="A21:I21"/>
    <mergeCell ref="B12:F12"/>
    <mergeCell ref="C3:F3"/>
    <mergeCell ref="A14:F14"/>
    <mergeCell ref="A5:F5"/>
    <mergeCell ref="B11:F11"/>
    <mergeCell ref="A17:F17"/>
    <mergeCell ref="B8:F8"/>
    <mergeCell ref="A19:F19"/>
    <mergeCell ref="B10:F10"/>
    <mergeCell ref="A15:F15"/>
    <mergeCell ref="B9:F9"/>
    <mergeCell ref="A29:E29"/>
    <mergeCell ref="B6:F6"/>
    <mergeCell ref="A27:G27"/>
    <mergeCell ref="A1:F1"/>
  </mergeCells>
  <conditionalFormatting sqref="B33">
    <cfRule type="cellIs" priority="1" operator="greaterThanOrEqual" dxfId="0">
      <formula>2.5</formula>
    </cfRule>
  </conditionalFormatting>
  <conditionalFormatting sqref="B34">
    <cfRule type="cellIs" priority="2" operator="greaterThanOrEqual" dxfId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0" customWidth="1" min="3" max="3"/>
    <col width="30" customWidth="1" min="4" max="4"/>
    <col width="34" customWidth="1" min="5" max="5"/>
    <col width="40" customWidth="1" min="6" max="6"/>
    <col width="34" customWidth="1" min="7" max="7"/>
    <col width="26" customWidth="1" min="8" max="8"/>
    <col width="34" customWidth="1" min="9" max="9"/>
    <col width="34" customWidth="1" min="10" max="10"/>
  </cols>
  <sheetData>
    <row r="1">
      <c r="A1" s="1" t="inlineStr">
        <is>
          <t>B6 — Schedule (4 Wochen x 5 Tage + taegliche Skill-Mikrodosis)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16" t="inlineStr">
        <is>
          <t>Jede Einheit startet mit Skill-Mikrodosis (8-15 min): Handgelenke -&gt; HS-Line/Balance -&gt; OAHS-Line/Weight-Shift. Keine Max-Versuche an Nicht-Skill-Tagen. Skill nie ans Ende ermuedeter Sessions.</t>
        </is>
      </c>
    </row>
    <row r="3">
      <c r="A3" s="11" t="inlineStr">
        <is>
          <t>Woche</t>
        </is>
      </c>
      <c r="B3" s="11" t="inlineStr">
        <is>
          <t>Tag</t>
        </is>
      </c>
      <c r="C3" s="11" t="inlineStr">
        <is>
          <t>Day Type</t>
        </is>
      </c>
      <c r="D3" s="11" t="inlineStr">
        <is>
          <t>Main Focus</t>
        </is>
      </c>
      <c r="E3" s="11" t="inlineStr">
        <is>
          <t>Skill-Touchpoint</t>
        </is>
      </c>
      <c r="F3" s="11" t="inlineStr">
        <is>
          <t>Strength</t>
        </is>
      </c>
      <c r="G3" s="11" t="inlineStr">
        <is>
          <t>Back/Hinge-Stress</t>
        </is>
      </c>
      <c r="H3" s="11" t="inlineStr">
        <is>
          <t>Placement</t>
        </is>
      </c>
      <c r="I3" s="11" t="inlineStr">
        <is>
          <t>Progression-Target</t>
        </is>
      </c>
      <c r="J3" s="11" t="inlineStr">
        <is>
          <t>Notes</t>
        </is>
      </c>
    </row>
    <row r="4">
      <c r="A4" s="10" t="inlineStr">
        <is>
          <t>W1 Re-Entry/Baseline</t>
        </is>
      </c>
      <c r="B4" s="17" t="inlineStr">
        <is>
          <t>T1</t>
        </is>
      </c>
      <c r="C4" s="10" t="inlineStr">
        <is>
          <t>T1</t>
        </is>
      </c>
      <c r="D4" s="5" t="inlineStr">
        <is>
          <t>90 Heavy + OAHS Line + Vertikalkraft</t>
        </is>
      </c>
      <c r="E4" s="5" t="inlineStr">
        <is>
          <t>OAHS Line/Weight-Shift + 2-3 saubere Holds/Seite</t>
        </is>
      </c>
      <c r="F4" s="5" t="inlineStr">
        <is>
          <t>90 Cluster (Singles-&gt;Double) + Pseudo-Planche/Planche-Hold + Weighted Pull-up + Scap/AR</t>
        </is>
      </c>
      <c r="G4" s="5" t="inlineStr">
        <is>
          <t>niedrig (kein Hinge)</t>
        </is>
      </c>
      <c r="H4" s="5" t="inlineStr">
        <is>
          <t>nach Ruhe-/Low-Tag (hoechster CNS-Tag)</t>
        </is>
      </c>
      <c r="I4" s="5" t="inlineStr">
        <is>
          <t>Baseline: 90 4 Saetze x1, RPE&lt;=8; Holds Qualitaet finden</t>
        </is>
      </c>
      <c r="J4" s="5" t="inlineStr">
        <is>
          <t>Skill-Mikrodosis zuerst; bei Qualitaetsverlust 90 -&gt; erst Push-Akzessorik kuerzen</t>
        </is>
      </c>
    </row>
    <row r="5">
      <c r="A5" s="10" t="inlineStr">
        <is>
          <t>W1 Re-Entry/Baseline</t>
        </is>
      </c>
      <c r="B5" s="17" t="inlineStr">
        <is>
          <t>T2</t>
        </is>
      </c>
      <c r="C5" s="10" t="inlineStr">
        <is>
          <t>T2</t>
        </is>
      </c>
      <c r="D5" s="5" t="inlineStr">
        <is>
          <t>OAHS Shapes + Pull-Volumen</t>
        </is>
      </c>
      <c r="E5" s="5" t="inlineStr">
        <is>
          <t>OAHS Shape-Density (Straddle-&gt;Half/Diamond), nur saubere Holds</t>
        </is>
      </c>
      <c r="F5" s="5" t="inlineStr">
        <is>
          <t>Chest-supported/Seal Row + Pull-up/Pulldown + Rear-Delt/Face Pull + Hollow/Compression</t>
        </is>
      </c>
      <c r="G5" s="5" t="inlineStr">
        <is>
          <t>niedrig (kein LWS-Reiz)</t>
        </is>
      </c>
      <c r="H5" s="5" t="inlineStr">
        <is>
          <t>Pull-Schwerpunkt, Skill frisch</t>
        </is>
      </c>
      <c r="I5" s="5" t="inlineStr">
        <is>
          <t>Shape-Baseline, saubere Straddle-Holds zaehlen</t>
        </is>
      </c>
      <c r="J5" s="5" t="inlineStr">
        <is>
          <t>Skill-Mikrodosis zuerst; bei Qualitaetsverlust 90 -&gt; erst Push-Akzessorik kuerzen</t>
        </is>
      </c>
    </row>
    <row r="6">
      <c r="A6" s="10" t="inlineStr">
        <is>
          <t>W1 Re-Entry/Baseline</t>
        </is>
      </c>
      <c r="B6" s="17" t="inlineStr">
        <is>
          <t>T3</t>
        </is>
      </c>
      <c r="C6" s="10" t="inlineStr">
        <is>
          <t>T3</t>
        </is>
      </c>
      <c r="D6" s="5" t="inlineStr">
        <is>
          <t>Beine (wirbelsaeulen-freundlich) + Core + BWS-Mobility</t>
        </is>
      </c>
      <c r="E6" s="5" t="inlineStr">
        <is>
          <t>nur Line, keine Max-Versuche</t>
        </is>
      </c>
      <c r="F6" s="5" t="inlineStr">
        <is>
          <t>BSS/FFE Split Squat + Leg Press/Hack/Belt + Ham Curl + Calves + Pallof/Dead Bug/Side Plank</t>
        </is>
      </c>
      <c r="G6" s="5" t="inlineStr">
        <is>
          <t>Gate-gesteuert: Hinge mit Dowel -&gt; entscheidet den Tag; KEIN schwerer Hinge</t>
        </is>
      </c>
      <c r="H6" s="5" t="inlineStr">
        <is>
          <t>BWS-Mobility-Block fix (Extension/Rotation, ribs down, Atmung)</t>
        </is>
      </c>
      <c r="I6" s="5" t="inlineStr">
        <is>
          <t>Hinge-Gate testen (Level), Lasten konservativ</t>
        </is>
      </c>
      <c r="J6" s="5" t="inlineStr">
        <is>
          <t>Skill-Mikrodosis zuerst; bei Qualitaetsverlust 90 -&gt; erst Push-Akzessorik kuerzen</t>
        </is>
      </c>
    </row>
    <row r="7">
      <c r="A7" s="10" t="inlineStr">
        <is>
          <t>W1 Re-Entry/Baseline</t>
        </is>
      </c>
      <c r="B7" s="17" t="inlineStr">
        <is>
          <t>T4</t>
        </is>
      </c>
      <c r="C7" s="10" t="inlineStr">
        <is>
          <t>T4</t>
        </is>
      </c>
      <c r="D7" s="5" t="inlineStr">
        <is>
          <t>OAHS Flag/Transitions + 90 Light/Assisted</t>
        </is>
      </c>
      <c r="E7" s="5" t="inlineStr">
        <is>
          <t>Laengeres Warm-up + Side-Body-Aktivierung</t>
        </is>
      </c>
      <c r="F7" s="5" t="inlineStr">
        <is>
          <t>Supported Pre-Flag-Lean + Sideline/Mini-Flag + 90 leicht/Negativ+Pause + Vertikalpress + OA/Chest Row</t>
        </is>
      </c>
      <c r="G7" s="5" t="inlineStr">
        <is>
          <t>niedrig (ribs down, kein LWS-Arch)</t>
        </is>
      </c>
      <c r="H7" s="5" t="inlineStr">
        <is>
          <t>Support nur reduzieren wenn Re-Entry sauber</t>
        </is>
      </c>
      <c r="I7" s="5" t="inlineStr">
        <is>
          <t>Support hoch, Flag-Geometrie lernen</t>
        </is>
      </c>
      <c r="J7" s="5" t="inlineStr">
        <is>
          <t>Skill-Mikrodosis zuerst; bei Qualitaetsverlust 90 -&gt; erst Push-Akzessorik kuerzen</t>
        </is>
      </c>
    </row>
    <row r="8">
      <c r="A8" s="10" t="inlineStr">
        <is>
          <t>W1 Re-Entry/Baseline</t>
        </is>
      </c>
      <c r="B8" s="17" t="inlineStr">
        <is>
          <t>T5</t>
        </is>
      </c>
      <c r="C8" s="10" t="inlineStr">
        <is>
          <t>T5</t>
        </is>
      </c>
      <c r="D8" s="5" t="inlineStr">
        <is>
          <t>Upper Hypertrophy (getrimmt) + 3. 90-Mikrodosis</t>
        </is>
      </c>
      <c r="E8" s="5" t="inlineStr">
        <is>
          <t>90 Technik/Negativ-Mikro (low volume, sauber)</t>
        </is>
      </c>
      <c r="F8" s="5" t="inlineStr">
        <is>
          <t>Push-Pump (Ring-Dips/Maschine/Deficit) + Pull-Pump (Row+Pulldown/Chin) + Schultern + Arme opt.</t>
        </is>
      </c>
      <c r="G8" s="5" t="inlineStr">
        <is>
          <t>niedrig</t>
        </is>
      </c>
      <c r="H8" s="5" t="inlineStr">
        <is>
          <t>BWS-Mobility + Lat/Pec/Forearm + Atmung-Downshift</t>
        </is>
      </c>
      <c r="I8" s="5" t="inlineStr">
        <is>
          <t>Pump leicht, Technik 90 Negativ</t>
        </is>
      </c>
      <c r="J8" s="5" t="inlineStr">
        <is>
          <t>Skill-Mikrodosis zuerst; bei Qualitaetsverlust 90 -&gt; erst Push-Akzessorik kuerzen</t>
        </is>
      </c>
    </row>
    <row r="9">
      <c r="A9" s="18" t="inlineStr">
        <is>
          <t>W2 Build</t>
        </is>
      </c>
      <c r="B9" s="19" t="inlineStr">
        <is>
          <t>T1</t>
        </is>
      </c>
      <c r="C9" s="18" t="inlineStr">
        <is>
          <t>T1</t>
        </is>
      </c>
      <c r="D9" s="20" t="inlineStr">
        <is>
          <t>90 Heavy + OAHS Line + Vertikalkraft</t>
        </is>
      </c>
      <c r="E9" s="20" t="inlineStr">
        <is>
          <t>OAHS Line/Weight-Shift + 2-3 saubere Holds/Seite</t>
        </is>
      </c>
      <c r="F9" s="20" t="inlineStr">
        <is>
          <t>90 Cluster (Singles-&gt;Double) + Pseudo-Planche/Planche-Hold + Weighted Pull-up + Scap/AR</t>
        </is>
      </c>
      <c r="G9" s="20" t="inlineStr">
        <is>
          <t>niedrig (kein Hinge)</t>
        </is>
      </c>
      <c r="H9" s="20" t="inlineStr">
        <is>
          <t>nach Ruhe-/Low-Tag (hoechster CNS-Tag)</t>
        </is>
      </c>
      <c r="I9" s="20" t="inlineStr">
        <is>
          <t>90 5 Saetze, Cluster 1-&gt;Double anpeilen, RPE 8-8,5</t>
        </is>
      </c>
      <c r="J9" s="20" t="inlineStr">
        <is>
          <t>Skill-Mikrodosis zuerst; bei Qualitaetsverlust 90 -&gt; erst Push-Akzessorik kuerzen</t>
        </is>
      </c>
    </row>
    <row r="10">
      <c r="A10" s="18" t="inlineStr">
        <is>
          <t>W2 Build</t>
        </is>
      </c>
      <c r="B10" s="19" t="inlineStr">
        <is>
          <t>T2</t>
        </is>
      </c>
      <c r="C10" s="18" t="inlineStr">
        <is>
          <t>T2</t>
        </is>
      </c>
      <c r="D10" s="20" t="inlineStr">
        <is>
          <t>OAHS Shapes + Pull-Volumen</t>
        </is>
      </c>
      <c r="E10" s="20" t="inlineStr">
        <is>
          <t>OAHS Shape-Density (Straddle-&gt;Half/Diamond), nur saubere Holds</t>
        </is>
      </c>
      <c r="F10" s="20" t="inlineStr">
        <is>
          <t>Chest-supported/Seal Row + Pull-up/Pulldown + Rear-Delt/Face Pull + Hollow/Compression</t>
        </is>
      </c>
      <c r="G10" s="20" t="inlineStr">
        <is>
          <t>niedrig (kein LWS-Reiz)</t>
        </is>
      </c>
      <c r="H10" s="20" t="inlineStr">
        <is>
          <t>Pull-Schwerpunkt, Skill frisch</t>
        </is>
      </c>
      <c r="I10" s="20" t="inlineStr">
        <is>
          <t>Shape-Density +1 Block, Übergang Half-Straddle</t>
        </is>
      </c>
      <c r="J10" s="20" t="inlineStr">
        <is>
          <t>Skill-Mikrodosis zuerst; bei Qualitaetsverlust 90 -&gt; erst Push-Akzessorik kuerzen</t>
        </is>
      </c>
    </row>
    <row r="11">
      <c r="A11" s="18" t="inlineStr">
        <is>
          <t>W2 Build</t>
        </is>
      </c>
      <c r="B11" s="19" t="inlineStr">
        <is>
          <t>T3</t>
        </is>
      </c>
      <c r="C11" s="18" t="inlineStr">
        <is>
          <t>T3</t>
        </is>
      </c>
      <c r="D11" s="20" t="inlineStr">
        <is>
          <t>Beine (wirbelsaeulen-freundlich) + Core + BWS-Mobility</t>
        </is>
      </c>
      <c r="E11" s="20" t="inlineStr">
        <is>
          <t>nur Line, keine Max-Versuche</t>
        </is>
      </c>
      <c r="F11" s="20" t="inlineStr">
        <is>
          <t>BSS/FFE Split Squat + Leg Press/Hack/Belt + Ham Curl + Calves + Pallof/Dead Bug/Side Plank</t>
        </is>
      </c>
      <c r="G11" s="20" t="inlineStr">
        <is>
          <t>Gate-gesteuert: Hinge mit Dowel -&gt; entscheidet den Tag; KEIN schwerer Hinge</t>
        </is>
      </c>
      <c r="H11" s="20" t="inlineStr">
        <is>
          <t>BWS-Mobility-Block fix (Extension/Rotation, ribs down, Atmung)</t>
        </is>
      </c>
      <c r="I11" s="20" t="inlineStr">
        <is>
          <t>Hinge ggf. Level +1, Beinlast +</t>
        </is>
      </c>
      <c r="J11" s="20" t="inlineStr">
        <is>
          <t>Skill-Mikrodosis zuerst; bei Qualitaetsverlust 90 -&gt; erst Push-Akzessorik kuerzen</t>
        </is>
      </c>
    </row>
    <row r="12">
      <c r="A12" s="18" t="inlineStr">
        <is>
          <t>W2 Build</t>
        </is>
      </c>
      <c r="B12" s="19" t="inlineStr">
        <is>
          <t>T4</t>
        </is>
      </c>
      <c r="C12" s="18" t="inlineStr">
        <is>
          <t>T4</t>
        </is>
      </c>
      <c r="D12" s="20" t="inlineStr">
        <is>
          <t>OAHS Flag/Transitions + 90 Light/Assisted</t>
        </is>
      </c>
      <c r="E12" s="20" t="inlineStr">
        <is>
          <t>Laengeres Warm-up + Side-Body-Aktivierung</t>
        </is>
      </c>
      <c r="F12" s="20" t="inlineStr">
        <is>
          <t>Supported Pre-Flag-Lean + Sideline/Mini-Flag + 90 leicht/Negativ+Pause + Vertikalpress + OA/Chest Row</t>
        </is>
      </c>
      <c r="G12" s="20" t="inlineStr">
        <is>
          <t>niedrig (ribs down, kein LWS-Arch)</t>
        </is>
      </c>
      <c r="H12" s="20" t="inlineStr">
        <is>
          <t>Support nur reduzieren wenn Re-Entry sauber</t>
        </is>
      </c>
      <c r="I12" s="20" t="inlineStr">
        <is>
          <t>Support leicht reduzieren wenn sauber</t>
        </is>
      </c>
      <c r="J12" s="20" t="inlineStr">
        <is>
          <t>Skill-Mikrodosis zuerst; bei Qualitaetsverlust 90 -&gt; erst Push-Akzessorik kuerzen</t>
        </is>
      </c>
    </row>
    <row r="13">
      <c r="A13" s="18" t="inlineStr">
        <is>
          <t>W2 Build</t>
        </is>
      </c>
      <c r="B13" s="19" t="inlineStr">
        <is>
          <t>T5</t>
        </is>
      </c>
      <c r="C13" s="18" t="inlineStr">
        <is>
          <t>T5</t>
        </is>
      </c>
      <c r="D13" s="20" t="inlineStr">
        <is>
          <t>Upper Hypertrophy (getrimmt) + 3. 90-Mikrodosis</t>
        </is>
      </c>
      <c r="E13" s="20" t="inlineStr">
        <is>
          <t>90 Technik/Negativ-Mikro (low volume, sauber)</t>
        </is>
      </c>
      <c r="F13" s="20" t="inlineStr">
        <is>
          <t>Push-Pump (Ring-Dips/Maschine/Deficit) + Pull-Pump (Row+Pulldown/Chin) + Schultern + Arme opt.</t>
        </is>
      </c>
      <c r="G13" s="20" t="inlineStr">
        <is>
          <t>niedrig</t>
        </is>
      </c>
      <c r="H13" s="20" t="inlineStr">
        <is>
          <t>BWS-Mobility + Lat/Pec/Forearm + Atmung-Downshift</t>
        </is>
      </c>
      <c r="I13" s="20" t="inlineStr">
        <is>
          <t>Pump +1-2 Saetze, 90 Negativ +Pause</t>
        </is>
      </c>
      <c r="J13" s="20" t="inlineStr">
        <is>
          <t>Skill-Mikrodosis zuerst; bei Qualitaetsverlust 90 -&gt; erst Push-Akzessorik kuerzen</t>
        </is>
      </c>
    </row>
    <row r="14">
      <c r="A14" s="10" t="inlineStr">
        <is>
          <t>W3 Peak</t>
        </is>
      </c>
      <c r="B14" s="17" t="inlineStr">
        <is>
          <t>T1</t>
        </is>
      </c>
      <c r="C14" s="10" t="inlineStr">
        <is>
          <t>T1</t>
        </is>
      </c>
      <c r="D14" s="5" t="inlineStr">
        <is>
          <t>90 Heavy + OAHS Line + Vertikalkraft</t>
        </is>
      </c>
      <c r="E14" s="5" t="inlineStr">
        <is>
          <t>OAHS Line/Weight-Shift + 2-3 saubere Holds/Seite</t>
        </is>
      </c>
      <c r="F14" s="5" t="inlineStr">
        <is>
          <t>90 Cluster (Singles-&gt;Double) + Pseudo-Planche/Planche-Hold + Weighted Pull-up + Scap/AR</t>
        </is>
      </c>
      <c r="G14" s="5" t="inlineStr">
        <is>
          <t>niedrig (kein Hinge)</t>
        </is>
      </c>
      <c r="H14" s="5" t="inlineStr">
        <is>
          <t>nach Ruhe-/Low-Tag (hoechster CNS-Tag)</t>
        </is>
      </c>
      <c r="I14" s="5" t="inlineStr">
        <is>
          <t>90 Peak: saubere Double in 1-2 Saetzen, RPE&lt;=8,5 (kein Failure)</t>
        </is>
      </c>
      <c r="J14" s="5" t="inlineStr">
        <is>
          <t>Skill-Mikrodosis zuerst; bei Qualitaetsverlust 90 -&gt; erst Push-Akzessorik kuerzen</t>
        </is>
      </c>
    </row>
    <row r="15">
      <c r="A15" s="10" t="inlineStr">
        <is>
          <t>W3 Peak</t>
        </is>
      </c>
      <c r="B15" s="17" t="inlineStr">
        <is>
          <t>T2</t>
        </is>
      </c>
      <c r="C15" s="10" t="inlineStr">
        <is>
          <t>T2</t>
        </is>
      </c>
      <c r="D15" s="5" t="inlineStr">
        <is>
          <t>OAHS Shapes + Pull-Volumen</t>
        </is>
      </c>
      <c r="E15" s="5" t="inlineStr">
        <is>
          <t>OAHS Shape-Density (Straddle-&gt;Half/Diamond), nur saubere Holds</t>
        </is>
      </c>
      <c r="F15" s="5" t="inlineStr">
        <is>
          <t>Chest-supported/Seal Row + Pull-up/Pulldown + Rear-Delt/Face Pull + Hollow/Compression</t>
        </is>
      </c>
      <c r="G15" s="5" t="inlineStr">
        <is>
          <t>niedrig (kein LWS-Reiz)</t>
        </is>
      </c>
      <c r="H15" s="5" t="inlineStr">
        <is>
          <t>Pull-Schwerpunkt, Skill frisch</t>
        </is>
      </c>
      <c r="I15" s="5" t="inlineStr">
        <is>
          <t>beste Shapes konsolidieren, Diamond/Legs-together-Prep</t>
        </is>
      </c>
      <c r="J15" s="5" t="inlineStr">
        <is>
          <t>Skill-Mikrodosis zuerst; bei Qualitaetsverlust 90 -&gt; erst Push-Akzessorik kuerzen</t>
        </is>
      </c>
    </row>
    <row r="16">
      <c r="A16" s="10" t="inlineStr">
        <is>
          <t>W3 Peak</t>
        </is>
      </c>
      <c r="B16" s="17" t="inlineStr">
        <is>
          <t>T3</t>
        </is>
      </c>
      <c r="C16" s="10" t="inlineStr">
        <is>
          <t>T3</t>
        </is>
      </c>
      <c r="D16" s="5" t="inlineStr">
        <is>
          <t>Beine (wirbelsaeulen-freundlich) + Core + BWS-Mobility</t>
        </is>
      </c>
      <c r="E16" s="5" t="inlineStr">
        <is>
          <t>nur Line, keine Max-Versuche</t>
        </is>
      </c>
      <c r="F16" s="5" t="inlineStr">
        <is>
          <t>BSS/FFE Split Squat + Leg Press/Hack/Belt + Ham Curl + Calves + Pallof/Dead Bug/Side Plank</t>
        </is>
      </c>
      <c r="G16" s="5" t="inlineStr">
        <is>
          <t>Gate-gesteuert: Hinge mit Dowel -&gt; entscheidet den Tag; KEIN schwerer Hinge</t>
        </is>
      </c>
      <c r="H16" s="5" t="inlineStr">
        <is>
          <t>BWS-Mobility-Block fix (Extension/Rotation, ribs down, Atmung)</t>
        </is>
      </c>
      <c r="I16" s="5" t="inlineStr">
        <is>
          <t>Beinlast Peak, Hinge halten (nicht steigern wenn Pain)</t>
        </is>
      </c>
      <c r="J16" s="5" t="inlineStr">
        <is>
          <t>Skill-Mikrodosis zuerst; bei Qualitaetsverlust 90 -&gt; erst Push-Akzessorik kuerzen</t>
        </is>
      </c>
    </row>
    <row r="17">
      <c r="A17" s="10" t="inlineStr">
        <is>
          <t>W3 Peak</t>
        </is>
      </c>
      <c r="B17" s="17" t="inlineStr">
        <is>
          <t>T4</t>
        </is>
      </c>
      <c r="C17" s="10" t="inlineStr">
        <is>
          <t>T4</t>
        </is>
      </c>
      <c r="D17" s="5" t="inlineStr">
        <is>
          <t>OAHS Flag/Transitions + 90 Light/Assisted</t>
        </is>
      </c>
      <c r="E17" s="5" t="inlineStr">
        <is>
          <t>Laengeres Warm-up + Side-Body-Aktivierung</t>
        </is>
      </c>
      <c r="F17" s="5" t="inlineStr">
        <is>
          <t>Supported Pre-Flag-Lean + Sideline/Mini-Flag + 90 leicht/Negativ+Pause + Vertikalpress + OA/Chest Row</t>
        </is>
      </c>
      <c r="G17" s="5" t="inlineStr">
        <is>
          <t>niedrig (ribs down, kein LWS-Arch)</t>
        </is>
      </c>
      <c r="H17" s="5" t="inlineStr">
        <is>
          <t>Support nur reduzieren wenn Re-Entry sauber</t>
        </is>
      </c>
      <c r="I17" s="5" t="inlineStr">
        <is>
          <t>Mini-Flag-Hold laenger, seltene reduzierte Supports</t>
        </is>
      </c>
      <c r="J17" s="5" t="inlineStr">
        <is>
          <t>Skill-Mikrodosis zuerst; bei Qualitaetsverlust 90 -&gt; erst Push-Akzessorik kuerzen</t>
        </is>
      </c>
    </row>
    <row r="18">
      <c r="A18" s="10" t="inlineStr">
        <is>
          <t>W3 Peak</t>
        </is>
      </c>
      <c r="B18" s="17" t="inlineStr">
        <is>
          <t>T5</t>
        </is>
      </c>
      <c r="C18" s="10" t="inlineStr">
        <is>
          <t>T5</t>
        </is>
      </c>
      <c r="D18" s="5" t="inlineStr">
        <is>
          <t>Upper Hypertrophy (getrimmt) + 3. 90-Mikrodosis</t>
        </is>
      </c>
      <c r="E18" s="5" t="inlineStr">
        <is>
          <t>90 Technik/Negativ-Mikro (low volume, sauber)</t>
        </is>
      </c>
      <c r="F18" s="5" t="inlineStr">
        <is>
          <t>Push-Pump (Ring-Dips/Maschine/Deficit) + Pull-Pump (Row+Pulldown/Chin) + Schultern + Arme opt.</t>
        </is>
      </c>
      <c r="G18" s="5" t="inlineStr">
        <is>
          <t>niedrig</t>
        </is>
      </c>
      <c r="H18" s="5" t="inlineStr">
        <is>
          <t>BWS-Mobility + Lat/Pec/Forearm + Atmung-Downshift</t>
        </is>
      </c>
      <c r="I18" s="5" t="inlineStr">
        <is>
          <t>Pump Peak getrimmt, 90 Technik scharf</t>
        </is>
      </c>
      <c r="J18" s="5" t="inlineStr">
        <is>
          <t>Skill-Mikrodosis zuerst; bei Qualitaetsverlust 90 -&gt; erst Push-Akzessorik kuerzen</t>
        </is>
      </c>
    </row>
    <row r="19">
      <c r="A19" s="18" t="inlineStr">
        <is>
          <t>W4 Consolidate/Test</t>
        </is>
      </c>
      <c r="B19" s="19" t="inlineStr">
        <is>
          <t>T1</t>
        </is>
      </c>
      <c r="C19" s="18" t="inlineStr">
        <is>
          <t>T1</t>
        </is>
      </c>
      <c r="D19" s="20" t="inlineStr">
        <is>
          <t>90 Heavy + OAHS Line + Vertikalkraft</t>
        </is>
      </c>
      <c r="E19" s="20" t="inlineStr">
        <is>
          <t>OAHS Line/Weight-Shift + 2-3 saubere Holds/Seite</t>
        </is>
      </c>
      <c r="F19" s="20" t="inlineStr">
        <is>
          <t>90 Cluster (Singles-&gt;Double) + Pseudo-Planche/Planche-Hold + Weighted Pull-up + Scap/AR</t>
        </is>
      </c>
      <c r="G19" s="20" t="inlineStr">
        <is>
          <t>niedrig (kein Hinge)</t>
        </is>
      </c>
      <c r="H19" s="20" t="inlineStr">
        <is>
          <t>nach Ruhe-/Low-Tag (hoechster CNS-Tag)</t>
        </is>
      </c>
      <c r="I19" s="20" t="inlineStr">
        <is>
          <t>Quality-Test: saubere Reps/Holds beweisen, Volumen runter</t>
        </is>
      </c>
      <c r="J19" s="20" t="inlineStr">
        <is>
          <t>Skill-Mikrodosis zuerst; bei Qualitaetsverlust 90 -&gt; erst Push-Akzessorik kuerzen</t>
        </is>
      </c>
    </row>
    <row r="20">
      <c r="A20" s="18" t="inlineStr">
        <is>
          <t>W4 Consolidate/Test</t>
        </is>
      </c>
      <c r="B20" s="19" t="inlineStr">
        <is>
          <t>T2</t>
        </is>
      </c>
      <c r="C20" s="18" t="inlineStr">
        <is>
          <t>T2</t>
        </is>
      </c>
      <c r="D20" s="20" t="inlineStr">
        <is>
          <t>OAHS Shapes + Pull-Volumen</t>
        </is>
      </c>
      <c r="E20" s="20" t="inlineStr">
        <is>
          <t>OAHS Shape-Density (Straddle-&gt;Half/Diamond), nur saubere Holds</t>
        </is>
      </c>
      <c r="F20" s="20" t="inlineStr">
        <is>
          <t>Chest-supported/Seal Row + Pull-up/Pulldown + Rear-Delt/Face Pull + Hollow/Compression</t>
        </is>
      </c>
      <c r="G20" s="20" t="inlineStr">
        <is>
          <t>niedrig (kein LWS-Reiz)</t>
        </is>
      </c>
      <c r="H20" s="20" t="inlineStr">
        <is>
          <t>Pull-Schwerpunkt, Skill frisch</t>
        </is>
      </c>
      <c r="I20" s="20" t="inlineStr">
        <is>
          <t>beste Holds testen, kein Grind</t>
        </is>
      </c>
      <c r="J20" s="20" t="inlineStr">
        <is>
          <t>Skill-Mikrodosis zuerst; bei Qualitaetsverlust 90 -&gt; erst Push-Akzessorik kuerzen</t>
        </is>
      </c>
    </row>
    <row r="21">
      <c r="A21" s="18" t="inlineStr">
        <is>
          <t>W4 Consolidate/Test</t>
        </is>
      </c>
      <c r="B21" s="19" t="inlineStr">
        <is>
          <t>T3</t>
        </is>
      </c>
      <c r="C21" s="18" t="inlineStr">
        <is>
          <t>T3</t>
        </is>
      </c>
      <c r="D21" s="20" t="inlineStr">
        <is>
          <t>Beine (wirbelsaeulen-freundlich) + Core + BWS-Mobility</t>
        </is>
      </c>
      <c r="E21" s="20" t="inlineStr">
        <is>
          <t>nur Line, keine Max-Versuche</t>
        </is>
      </c>
      <c r="F21" s="20" t="inlineStr">
        <is>
          <t>BSS/FFE Split Squat + Leg Press/Hack/Belt + Ham Curl + Calves + Pallof/Dead Bug/Side Plank</t>
        </is>
      </c>
      <c r="G21" s="20" t="inlineStr">
        <is>
          <t>Gate-gesteuert: Hinge mit Dowel -&gt; entscheidet den Tag; KEIN schwerer Hinge</t>
        </is>
      </c>
      <c r="H21" s="20" t="inlineStr">
        <is>
          <t>BWS-Mobility-Block fix (Extension/Rotation, ribs down, Atmung)</t>
        </is>
      </c>
      <c r="I21" s="20" t="inlineStr">
        <is>
          <t>Deload Beine, Mobility-Fokus</t>
        </is>
      </c>
      <c r="J21" s="20" t="inlineStr">
        <is>
          <t>Skill-Mikrodosis zuerst; bei Qualitaetsverlust 90 -&gt; erst Push-Akzessorik kuerzen</t>
        </is>
      </c>
    </row>
    <row r="22">
      <c r="A22" s="18" t="inlineStr">
        <is>
          <t>W4 Consolidate/Test</t>
        </is>
      </c>
      <c r="B22" s="19" t="inlineStr">
        <is>
          <t>T4</t>
        </is>
      </c>
      <c r="C22" s="18" t="inlineStr">
        <is>
          <t>T4</t>
        </is>
      </c>
      <c r="D22" s="20" t="inlineStr">
        <is>
          <t>OAHS Flag/Transitions + 90 Light/Assisted</t>
        </is>
      </c>
      <c r="E22" s="20" t="inlineStr">
        <is>
          <t>Laengeres Warm-up + Side-Body-Aktivierung</t>
        </is>
      </c>
      <c r="F22" s="20" t="inlineStr">
        <is>
          <t>Supported Pre-Flag-Lean + Sideline/Mini-Flag + 90 leicht/Negativ+Pause + Vertikalpress + OA/Chest Row</t>
        </is>
      </c>
      <c r="G22" s="20" t="inlineStr">
        <is>
          <t>niedrig (ribs down, kein LWS-Arch)</t>
        </is>
      </c>
      <c r="H22" s="20" t="inlineStr">
        <is>
          <t>Support nur reduzieren wenn Re-Entry sauber</t>
        </is>
      </c>
      <c r="I22" s="20" t="inlineStr">
        <is>
          <t>beste Flag-Holds dokumentieren</t>
        </is>
      </c>
      <c r="J22" s="20" t="inlineStr">
        <is>
          <t>Skill-Mikrodosis zuerst; bei Qualitaetsverlust 90 -&gt; erst Push-Akzessorik kuerzen</t>
        </is>
      </c>
    </row>
    <row r="23">
      <c r="A23" s="18" t="inlineStr">
        <is>
          <t>W4 Consolidate/Test</t>
        </is>
      </c>
      <c r="B23" s="19" t="inlineStr">
        <is>
          <t>T5</t>
        </is>
      </c>
      <c r="C23" s="18" t="inlineStr">
        <is>
          <t>T5</t>
        </is>
      </c>
      <c r="D23" s="20" t="inlineStr">
        <is>
          <t>Upper Hypertrophy (getrimmt) + 3. 90-Mikrodosis</t>
        </is>
      </c>
      <c r="E23" s="20" t="inlineStr">
        <is>
          <t>90 Technik/Negativ-Mikro (low volume, sauber)</t>
        </is>
      </c>
      <c r="F23" s="20" t="inlineStr">
        <is>
          <t>Push-Pump (Ring-Dips/Maschine/Deficit) + Pull-Pump (Row+Pulldown/Chin) + Schultern + Arme opt.</t>
        </is>
      </c>
      <c r="G23" s="20" t="inlineStr">
        <is>
          <t>niedrig</t>
        </is>
      </c>
      <c r="H23" s="20" t="inlineStr">
        <is>
          <t>BWS-Mobility + Lat/Pec/Forearm + Atmung-Downshift</t>
        </is>
      </c>
      <c r="I23" s="20" t="inlineStr">
        <is>
          <t>Mini-Dosis, Regeneration</t>
        </is>
      </c>
      <c r="J23" s="20" t="inlineStr">
        <is>
          <t>Skill-Mikrodosis zuerst; bei Qualitaetsverlust 90 -&gt; erst Push-Akzessorik kuerzen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6" customWidth="1" min="4" max="4"/>
    <col width="12" customWidth="1" min="5" max="5"/>
    <col width="14" customWidth="1" min="6" max="6"/>
    <col width="14" customWidth="1" min="7" max="7"/>
    <col width="14" customWidth="1" min="8" max="8"/>
    <col width="9" customWidth="1" min="9" max="9"/>
    <col width="40" customWidth="1" min="10" max="10"/>
    <col width="22" customWidth="1" min="11" max="11"/>
    <col width="30" customWidth="1" min="12" max="12"/>
  </cols>
  <sheetData>
    <row r="1">
      <c r="A1" s="1" t="inlineStr">
        <is>
          <t>B6 — Plan Detail (Uebungsbloecke je Tag T1-T5)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6" t="inlineStr">
        <is>
          <t>W1-W4 = Saetze x Reps/Holds je Woche. RPE/Quality und Gates beachten. Skill immer zuerst, nie ermuedet.</t>
        </is>
      </c>
    </row>
    <row r="3">
      <c r="A3" s="11" t="inlineStr">
        <is>
          <t>Day Type</t>
        </is>
      </c>
      <c r="B3" s="11" t="inlineStr">
        <is>
          <t>Block</t>
        </is>
      </c>
      <c r="C3" s="11" t="inlineStr">
        <is>
          <t>Uebung/Drill</t>
        </is>
      </c>
      <c r="D3" s="11" t="inlineStr">
        <is>
          <t>W1</t>
        </is>
      </c>
      <c r="E3" s="11" t="inlineStr">
        <is>
          <t>W2</t>
        </is>
      </c>
      <c r="F3" s="11" t="inlineStr">
        <is>
          <t>W3</t>
        </is>
      </c>
      <c r="G3" s="11" t="inlineStr">
        <is>
          <t>W4</t>
        </is>
      </c>
      <c r="H3" s="11" t="inlineStr">
        <is>
          <t>RPE/Quality</t>
        </is>
      </c>
      <c r="I3" s="11" t="inlineStr">
        <is>
          <t>Rest</t>
        </is>
      </c>
      <c r="J3" s="11" t="inlineStr">
        <is>
          <t>Progression/Gate</t>
        </is>
      </c>
      <c r="K3" s="11" t="inlineStr">
        <is>
          <t>Back-Rule</t>
        </is>
      </c>
      <c r="L3" s="11" t="inlineStr">
        <is>
          <t>Notes</t>
        </is>
      </c>
    </row>
    <row r="4">
      <c r="A4" s="21" t="inlineStr">
        <is>
          <t>ALLE</t>
        </is>
      </c>
      <c r="B4" s="5" t="inlineStr">
        <is>
          <t>Warm-up</t>
        </is>
      </c>
      <c r="C4" s="5" t="inlineStr">
        <is>
          <t>Wrist Prep + Handgelenks-Kraeftigung</t>
        </is>
      </c>
      <c r="D4" s="10" t="inlineStr">
        <is>
          <t>1 Block</t>
        </is>
      </c>
      <c r="E4" s="10" t="inlineStr">
        <is>
          <t>1</t>
        </is>
      </c>
      <c r="F4" s="10" t="inlineStr">
        <is>
          <t>1</t>
        </is>
      </c>
      <c r="G4" s="10" t="inlineStr">
        <is>
          <t>1</t>
        </is>
      </c>
      <c r="H4" s="10" t="inlineStr">
        <is>
          <t>Qual 4-5</t>
        </is>
      </c>
      <c r="I4" s="10" t="inlineStr">
        <is>
          <t>-</t>
        </is>
      </c>
      <c r="J4" s="5" t="inlineStr">
        <is>
          <t>fix vor jeder Einheit</t>
        </is>
      </c>
      <c r="K4" s="5" t="inlineStr">
        <is>
          <t>neutral</t>
        </is>
      </c>
      <c r="L4" s="5" t="inlineStr">
        <is>
          <t>wegen hoher Handstand-Last</t>
        </is>
      </c>
    </row>
    <row r="5">
      <c r="A5" s="21" t="inlineStr">
        <is>
          <t>ALLE</t>
        </is>
      </c>
      <c r="B5" s="5" t="inlineStr">
        <is>
          <t>Skill-Mikrodosis</t>
        </is>
      </c>
      <c r="C5" s="5" t="inlineStr">
        <is>
          <t>HS Line/Balance</t>
        </is>
      </c>
      <c r="D5" s="10" t="inlineStr">
        <is>
          <t>8-15 min</t>
        </is>
      </c>
      <c r="E5" s="10" t="inlineStr">
        <is>
          <t>kurz</t>
        </is>
      </c>
      <c r="F5" s="10" t="inlineStr">
        <is>
          <t>kurz</t>
        </is>
      </c>
      <c r="G5" s="10" t="inlineStr">
        <is>
          <t>kurz</t>
        </is>
      </c>
      <c r="H5" s="10" t="inlineStr">
        <is>
          <t>Qual 4-5</t>
        </is>
      </c>
      <c r="I5" s="10" t="inlineStr">
        <is>
          <t>-</t>
        </is>
      </c>
      <c r="J5" s="5" t="inlineStr">
        <is>
          <t>Frequenz &gt; Intensitaet</t>
        </is>
      </c>
      <c r="K5" s="5" t="inlineStr">
        <is>
          <t>ribs down</t>
        </is>
      </c>
      <c r="L5" s="5" t="inlineStr">
        <is>
          <t>keine Max-Versuche an Nicht-Skill-Tagen</t>
        </is>
      </c>
    </row>
    <row r="6">
      <c r="A6" s="21" t="inlineStr">
        <is>
          <t>ALLE</t>
        </is>
      </c>
      <c r="B6" s="5" t="inlineStr">
        <is>
          <t>Skill-Mikrodosis</t>
        </is>
      </c>
      <c r="C6" s="5" t="inlineStr">
        <is>
          <t>OAHS Line / Weight-Shift</t>
        </is>
      </c>
      <c r="D6" s="10" t="inlineStr">
        <is>
          <t>kurz</t>
        </is>
      </c>
      <c r="E6" s="10" t="inlineStr">
        <is>
          <t>kurz</t>
        </is>
      </c>
      <c r="F6" s="10" t="inlineStr">
        <is>
          <t>kurz</t>
        </is>
      </c>
      <c r="G6" s="10" t="inlineStr">
        <is>
          <t>kurz</t>
        </is>
      </c>
      <c r="H6" s="10" t="inlineStr">
        <is>
          <t>Qual 4-5</t>
        </is>
      </c>
      <c r="I6" s="10" t="inlineStr">
        <is>
          <t>-</t>
        </is>
      </c>
      <c r="J6" s="5" t="inlineStr">
        <is>
          <t>taeglich, nur sauber</t>
        </is>
      </c>
      <c r="K6" s="5" t="inlineStr">
        <is>
          <t>neutral</t>
        </is>
      </c>
      <c r="L6" s="5" t="inlineStr">
        <is>
          <t>rechts leicht bevorzugen</t>
        </is>
      </c>
    </row>
    <row r="7">
      <c r="A7" s="22" t="inlineStr">
        <is>
          <t>T1</t>
        </is>
      </c>
      <c r="B7" s="5" t="inlineStr">
        <is>
          <t>Skill</t>
        </is>
      </c>
      <c r="C7" s="5" t="inlineStr">
        <is>
          <t>OAHS Line + 2-3 saubere Holds/Seite</t>
        </is>
      </c>
      <c r="D7" s="10" t="inlineStr">
        <is>
          <t>3/Seite</t>
        </is>
      </c>
      <c r="E7" s="10" t="inlineStr">
        <is>
          <t>3</t>
        </is>
      </c>
      <c r="F7" s="10" t="inlineStr">
        <is>
          <t>3</t>
        </is>
      </c>
      <c r="G7" s="10" t="inlineStr">
        <is>
          <t>2 (Test)</t>
        </is>
      </c>
      <c r="H7" s="10" t="inlineStr">
        <is>
          <t>Qual 4-5</t>
        </is>
      </c>
      <c r="I7" s="10" t="inlineStr">
        <is>
          <t>60-90s</t>
        </is>
      </c>
      <c r="J7" s="5" t="inlineStr">
        <is>
          <t>nur saubere Holds zaehlen</t>
        </is>
      </c>
      <c r="K7" s="5" t="inlineStr">
        <is>
          <t>neutral</t>
        </is>
      </c>
      <c r="L7" s="5" t="inlineStr">
        <is>
          <t>rechts ggf. +1 Hold</t>
        </is>
      </c>
    </row>
    <row r="8">
      <c r="A8" s="22" t="inlineStr">
        <is>
          <t>T1</t>
        </is>
      </c>
      <c r="B8" s="5" t="inlineStr">
        <is>
          <t>T1 Haupt</t>
        </is>
      </c>
      <c r="C8" s="5" t="inlineStr">
        <is>
          <t>90 Heavy — Cluster Singles-&gt;Double</t>
        </is>
      </c>
      <c r="D8" s="10" t="inlineStr">
        <is>
          <t>4x1</t>
        </is>
      </c>
      <c r="E8" s="10" t="inlineStr">
        <is>
          <t>5x1</t>
        </is>
      </c>
      <c r="F8" s="10" t="inlineStr">
        <is>
          <t>2x2 / Rest 1</t>
        </is>
      </c>
      <c r="G8" s="10" t="inlineStr">
        <is>
          <t>Quality-Test</t>
        </is>
      </c>
      <c r="H8" s="10" t="inlineStr">
        <is>
          <t>RPE 8-8,5</t>
        </is>
      </c>
      <c r="I8" s="10" t="inlineStr">
        <is>
          <t>2-3 min</t>
        </is>
      </c>
      <c r="J8" s="5" t="inlineStr">
        <is>
          <t>immer 1 Rep VOR Formverlust stoppen; nie Failure default</t>
        </is>
      </c>
      <c r="K8" s="5" t="inlineStr">
        <is>
          <t>kein Arch, ribs down</t>
        </is>
      </c>
      <c r="L8" s="5" t="inlineStr">
        <is>
          <t>Weg zu 3: Kraftdach + Cluster + Hebel</t>
        </is>
      </c>
    </row>
    <row r="9">
      <c r="A9" s="22" t="inlineStr">
        <is>
          <t>T1</t>
        </is>
      </c>
      <c r="B9" s="5" t="inlineStr">
        <is>
          <t>Planche</t>
        </is>
      </c>
      <c r="C9" s="5" t="inlineStr">
        <is>
          <t>Pseudo-Planche Push-up ODER Adv-Tuck/Straddle Hold</t>
        </is>
      </c>
      <c r="D9" s="10" t="inlineStr">
        <is>
          <t>3x6-8 / 3x8-12s</t>
        </is>
      </c>
      <c r="E9" s="10" t="inlineStr">
        <is>
          <t>3</t>
        </is>
      </c>
      <c r="F9" s="10" t="inlineStr">
        <is>
          <t>3</t>
        </is>
      </c>
      <c r="G9" s="10" t="inlineStr">
        <is>
          <t>1</t>
        </is>
      </c>
      <c r="H9" s="10" t="inlineStr">
        <is>
          <t>RPE 7-8</t>
        </is>
      </c>
      <c r="I9" s="10" t="inlineStr">
        <is>
          <t>2 min</t>
        </is>
      </c>
      <c r="J9" s="5" t="inlineStr">
        <is>
          <t>Straight-Arm-Fokus; Lean/Hold steigern</t>
        </is>
      </c>
      <c r="K9" s="5" t="inlineStr">
        <is>
          <t>neutral</t>
        </is>
      </c>
      <c r="L9" s="5" t="inlineStr">
        <is>
          <t>Schluessel-Assistance fuer 90</t>
        </is>
      </c>
    </row>
    <row r="10">
      <c r="A10" s="22" t="inlineStr">
        <is>
          <t>T1</t>
        </is>
      </c>
      <c r="B10" s="5" t="inlineStr">
        <is>
          <t>Vertikal-Pull</t>
        </is>
      </c>
      <c r="C10" s="5" t="inlineStr">
        <is>
          <t>Weighted Pull-up</t>
        </is>
      </c>
      <c r="D10" s="10" t="inlineStr">
        <is>
          <t>4x4</t>
        </is>
      </c>
      <c r="E10" s="10" t="inlineStr">
        <is>
          <t>4-5x3-5</t>
        </is>
      </c>
      <c r="F10" s="10" t="inlineStr">
        <is>
          <t>5x3</t>
        </is>
      </c>
      <c r="G10" s="10" t="inlineStr">
        <is>
          <t>3x3</t>
        </is>
      </c>
      <c r="H10" s="10" t="inlineStr">
        <is>
          <t>RPE 7-8</t>
        </is>
      </c>
      <c r="I10" s="10" t="inlineStr">
        <is>
          <t>2-3 min</t>
        </is>
      </c>
      <c r="J10" s="5" t="inlineStr">
        <is>
          <t>Last +, Reps sauber</t>
        </is>
      </c>
      <c r="K10" s="5" t="inlineStr">
        <is>
          <t>neutral</t>
        </is>
      </c>
      <c r="L10" s="5" t="inlineStr">
        <is>
          <t>Zug-Kraftbasis</t>
        </is>
      </c>
    </row>
    <row r="11">
      <c r="A11" s="22" t="inlineStr">
        <is>
          <t>T1</t>
        </is>
      </c>
      <c r="B11" s="5" t="inlineStr">
        <is>
          <t>Schulter-Hygiene</t>
        </is>
      </c>
      <c r="C11" s="5" t="inlineStr">
        <is>
          <t>Scap/Serratus + External Rotation</t>
        </is>
      </c>
      <c r="D11" s="10" t="inlineStr">
        <is>
          <t>2x10-15</t>
        </is>
      </c>
      <c r="E11" s="10" t="inlineStr">
        <is>
          <t>2</t>
        </is>
      </c>
      <c r="F11" s="10" t="inlineStr">
        <is>
          <t>2</t>
        </is>
      </c>
      <c r="G11" s="10" t="inlineStr">
        <is>
          <t>1</t>
        </is>
      </c>
      <c r="H11" s="10" t="inlineStr">
        <is>
          <t>RPE 6</t>
        </is>
      </c>
      <c r="I11" s="10" t="inlineStr">
        <is>
          <t>45-60s</t>
        </is>
      </c>
      <c r="J11" s="5" t="inlineStr">
        <is>
          <t>Qualitaet, kein Ego</t>
        </is>
      </c>
      <c r="K11" s="5" t="inlineStr">
        <is>
          <t>neutral</t>
        </is>
      </c>
      <c r="L11" s="5" t="inlineStr">
        <is>
          <t>Schultergesundheit</t>
        </is>
      </c>
    </row>
    <row r="12">
      <c r="A12" s="23" t="inlineStr">
        <is>
          <t>T2</t>
        </is>
      </c>
      <c r="B12" s="5" t="inlineStr">
        <is>
          <t>Skill</t>
        </is>
      </c>
      <c r="C12" s="5" t="inlineStr">
        <is>
          <t>OAHS Shape-Density (Straddle-&gt;Half/Diamond)</t>
        </is>
      </c>
      <c r="D12" s="10" t="inlineStr">
        <is>
          <t>3 Bloecke</t>
        </is>
      </c>
      <c r="E12" s="10" t="inlineStr">
        <is>
          <t>3</t>
        </is>
      </c>
      <c r="F12" s="10" t="inlineStr">
        <is>
          <t>3</t>
        </is>
      </c>
      <c r="G12" s="10" t="inlineStr">
        <is>
          <t>beste Holds</t>
        </is>
      </c>
      <c r="H12" s="10" t="inlineStr">
        <is>
          <t>Qual 4-5</t>
        </is>
      </c>
      <c r="I12" s="10" t="inlineStr">
        <is>
          <t>60-90s</t>
        </is>
      </c>
      <c r="J12" s="5" t="inlineStr">
        <is>
          <t>nur saubere Holds; Progression der Form</t>
        </is>
      </c>
      <c r="K12" s="5" t="inlineStr">
        <is>
          <t>neutral</t>
        </is>
      </c>
      <c r="L12" s="5" t="inlineStr">
        <is>
          <t>rechts priorisieren</t>
        </is>
      </c>
    </row>
    <row r="13">
      <c r="A13" s="23" t="inlineStr">
        <is>
          <t>T2</t>
        </is>
      </c>
      <c r="B13" s="5" t="inlineStr">
        <is>
          <t>Haupt-Zug</t>
        </is>
      </c>
      <c r="C13" s="5" t="inlineStr">
        <is>
          <t>Chest-supported / Seal Row</t>
        </is>
      </c>
      <c r="D13" s="10" t="inlineStr">
        <is>
          <t>3x10-12</t>
        </is>
      </c>
      <c r="E13" s="10" t="inlineStr">
        <is>
          <t>4x10-12</t>
        </is>
      </c>
      <c r="F13" s="10" t="inlineStr">
        <is>
          <t>4x8-10</t>
        </is>
      </c>
      <c r="G13" s="10" t="inlineStr">
        <is>
          <t>2x10</t>
        </is>
      </c>
      <c r="H13" s="10" t="inlineStr">
        <is>
          <t>RPE 7-8</t>
        </is>
      </c>
      <c r="I13" s="10" t="inlineStr">
        <is>
          <t>90s</t>
        </is>
      </c>
      <c r="J13" s="5" t="inlineStr">
        <is>
          <t>Last/Reps +</t>
        </is>
      </c>
      <c r="K13" s="5" t="inlineStr">
        <is>
          <t>brustgestuetzt, kein LWS-Reiz</t>
        </is>
      </c>
      <c r="L13" s="5" t="inlineStr">
        <is>
          <t>oberer Ruecken</t>
        </is>
      </c>
    </row>
    <row r="14">
      <c r="A14" s="23" t="inlineStr">
        <is>
          <t>T2</t>
        </is>
      </c>
      <c r="B14" s="5" t="inlineStr">
        <is>
          <t>Vertikal-Zug</t>
        </is>
      </c>
      <c r="C14" s="5" t="inlineStr">
        <is>
          <t>Pull-up / Lat Pulldown Volumen</t>
        </is>
      </c>
      <c r="D14" s="10" t="inlineStr">
        <is>
          <t>3x8-10</t>
        </is>
      </c>
      <c r="E14" s="10" t="inlineStr">
        <is>
          <t>4x8-10</t>
        </is>
      </c>
      <c r="F14" s="10" t="inlineStr">
        <is>
          <t>4x6-8</t>
        </is>
      </c>
      <c r="G14" s="10" t="inlineStr">
        <is>
          <t>2x8</t>
        </is>
      </c>
      <c r="H14" s="10" t="inlineStr">
        <is>
          <t>RPE 7-8</t>
        </is>
      </c>
      <c r="I14" s="10" t="inlineStr">
        <is>
          <t>90s</t>
        </is>
      </c>
      <c r="J14" s="5" t="inlineStr">
        <is>
          <t>Volumen steuern</t>
        </is>
      </c>
      <c r="K14" s="5" t="inlineStr">
        <is>
          <t>neutral</t>
        </is>
      </c>
      <c r="L14" s="5" t="inlineStr">
        <is>
          <t>Lat-Volumen</t>
        </is>
      </c>
    </row>
    <row r="15">
      <c r="A15" s="23" t="inlineStr">
        <is>
          <t>T2</t>
        </is>
      </c>
      <c r="B15" s="5" t="inlineStr">
        <is>
          <t>Schulter</t>
        </is>
      </c>
      <c r="C15" s="5" t="inlineStr">
        <is>
          <t>Rear-Delt Fly + Face Pull</t>
        </is>
      </c>
      <c r="D15" s="10" t="inlineStr">
        <is>
          <t>2-3x12-15</t>
        </is>
      </c>
      <c r="E15" s="10" t="inlineStr">
        <is>
          <t>3</t>
        </is>
      </c>
      <c r="F15" s="10" t="inlineStr">
        <is>
          <t>3</t>
        </is>
      </c>
      <c r="G15" s="10" t="inlineStr">
        <is>
          <t>2</t>
        </is>
      </c>
      <c r="H15" s="10" t="inlineStr">
        <is>
          <t>RPE 6-7</t>
        </is>
      </c>
      <c r="I15" s="10" t="inlineStr">
        <is>
          <t>45-60s</t>
        </is>
      </c>
      <c r="J15" s="5" t="inlineStr">
        <is>
          <t>Qualitaet</t>
        </is>
      </c>
      <c r="K15" s="5" t="inlineStr">
        <is>
          <t>neutral</t>
        </is>
      </c>
      <c r="L15" s="5" t="inlineStr">
        <is>
          <t>hintere Schulter/Rotatoren</t>
        </is>
      </c>
    </row>
    <row r="16">
      <c r="A16" s="23" t="inlineStr">
        <is>
          <t>T2</t>
        </is>
      </c>
      <c r="B16" s="5" t="inlineStr">
        <is>
          <t>Core</t>
        </is>
      </c>
      <c r="C16" s="5" t="inlineStr">
        <is>
          <t>Hollow / Compression</t>
        </is>
      </c>
      <c r="D16" s="10" t="inlineStr">
        <is>
          <t>3x20-30s</t>
        </is>
      </c>
      <c r="E16" s="10" t="inlineStr">
        <is>
          <t>3</t>
        </is>
      </c>
      <c r="F16" s="10" t="inlineStr">
        <is>
          <t>3</t>
        </is>
      </c>
      <c r="G16" s="10" t="inlineStr">
        <is>
          <t>2</t>
        </is>
      </c>
      <c r="H16" s="10" t="inlineStr">
        <is>
          <t>Qual 4</t>
        </is>
      </c>
      <c r="I16" s="10" t="inlineStr">
        <is>
          <t>45s</t>
        </is>
      </c>
      <c r="J16" s="5" t="inlineStr">
        <is>
          <t>Spannung halten</t>
        </is>
      </c>
      <c r="K16" s="5" t="inlineStr">
        <is>
          <t>KEIN LWS-Reiz</t>
        </is>
      </c>
      <c r="L16" s="5" t="inlineStr">
        <is>
          <t>Compression fuer Shapes</t>
        </is>
      </c>
    </row>
    <row r="17">
      <c r="A17" s="24" t="inlineStr">
        <is>
          <t>T3</t>
        </is>
      </c>
      <c r="B17" s="5" t="inlineStr">
        <is>
          <t>Status/Gate</t>
        </is>
      </c>
      <c r="C17" s="5" t="inlineStr">
        <is>
          <t>Hinge-Pattern mit Dowel (Status-Check)</t>
        </is>
      </c>
      <c r="D17" s="10" t="inlineStr">
        <is>
          <t>2-3 Reps</t>
        </is>
      </c>
      <c r="E17" s="10" t="inlineStr">
        <is>
          <t>2-3</t>
        </is>
      </c>
      <c r="F17" s="10" t="inlineStr">
        <is>
          <t>2-3</t>
        </is>
      </c>
      <c r="G17" s="10" t="inlineStr">
        <is>
          <t>2-3</t>
        </is>
      </c>
      <c r="H17" s="10" t="inlineStr">
        <is>
          <t>Pain-Gate</t>
        </is>
      </c>
      <c r="I17" s="10" t="inlineStr">
        <is>
          <t>-</t>
        </is>
      </c>
      <c r="J17" s="5" t="inlineStr">
        <is>
          <t>Gate entscheidet Tag (Rules)</t>
        </is>
      </c>
      <c r="K17" s="5" t="inlineStr">
        <is>
          <t>Pain &gt;3 -&gt; regredieren</t>
        </is>
      </c>
      <c r="L17" s="5" t="inlineStr">
        <is>
          <t>LWS + BWS Status</t>
        </is>
      </c>
    </row>
    <row r="18">
      <c r="A18" s="24" t="inlineStr">
        <is>
          <t>T3</t>
        </is>
      </c>
      <c r="B18" s="5" t="inlineStr">
        <is>
          <t>Bein uni</t>
        </is>
      </c>
      <c r="C18" s="5" t="inlineStr">
        <is>
          <t>Bulgarian / FFE Split Squat</t>
        </is>
      </c>
      <c r="D18" s="10" t="inlineStr">
        <is>
          <t>3x8-10/Seite</t>
        </is>
      </c>
      <c r="E18" s="10" t="inlineStr">
        <is>
          <t>3x8-10</t>
        </is>
      </c>
      <c r="F18" s="10" t="inlineStr">
        <is>
          <t>4x8</t>
        </is>
      </c>
      <c r="G18" s="10" t="inlineStr">
        <is>
          <t>2x10</t>
        </is>
      </c>
      <c r="H18" s="10" t="inlineStr">
        <is>
          <t>RPE 7-8</t>
        </is>
      </c>
      <c r="I18" s="10" t="inlineStr">
        <is>
          <t>90s</t>
        </is>
      </c>
      <c r="J18" s="5" t="inlineStr">
        <is>
          <t>Last +, Tiefe sauber</t>
        </is>
      </c>
      <c r="K18" s="5" t="inlineStr">
        <is>
          <t>wirbelsaeulen-neutral</t>
        </is>
      </c>
      <c r="L18" s="5" t="inlineStr">
        <is>
          <t>Quad/Glute</t>
        </is>
      </c>
    </row>
    <row r="19">
      <c r="A19" s="24" t="inlineStr">
        <is>
          <t>T3</t>
        </is>
      </c>
      <c r="B19" s="5" t="inlineStr">
        <is>
          <t>Bein bi</t>
        </is>
      </c>
      <c r="C19" s="5" t="inlineStr">
        <is>
          <t>Leg Press / Hack / Belt Squat</t>
        </is>
      </c>
      <c r="D19" s="10" t="inlineStr">
        <is>
          <t>3x10-12</t>
        </is>
      </c>
      <c r="E19" s="10" t="inlineStr">
        <is>
          <t>3x10-12</t>
        </is>
      </c>
      <c r="F19" s="10" t="inlineStr">
        <is>
          <t>4x10</t>
        </is>
      </c>
      <c r="G19" s="10" t="inlineStr">
        <is>
          <t>2x12</t>
        </is>
      </c>
      <c r="H19" s="10" t="inlineStr">
        <is>
          <t>RPE 7-8</t>
        </is>
      </c>
      <c r="I19" s="10" t="inlineStr">
        <is>
          <t>2 min</t>
        </is>
      </c>
      <c r="J19" s="5" t="inlineStr">
        <is>
          <t>Last +</t>
        </is>
      </c>
      <c r="K19" s="5" t="inlineStr">
        <is>
          <t>kein axialer Grind</t>
        </is>
      </c>
      <c r="L19" s="5" t="inlineStr">
        <is>
          <t>Quad/Glute</t>
        </is>
      </c>
    </row>
    <row r="20">
      <c r="A20" s="24" t="inlineStr">
        <is>
          <t>T3</t>
        </is>
      </c>
      <c r="B20" s="5" t="inlineStr">
        <is>
          <t>Post. Kette</t>
        </is>
      </c>
      <c r="C20" s="5" t="inlineStr">
        <is>
          <t>Hamstring Curl + (gated) leichte post. Kette</t>
        </is>
      </c>
      <c r="D20" s="10" t="inlineStr">
        <is>
          <t>3x10-12</t>
        </is>
      </c>
      <c r="E20" s="10" t="inlineStr">
        <is>
          <t>3</t>
        </is>
      </c>
      <c r="F20" s="10" t="inlineStr">
        <is>
          <t>3</t>
        </is>
      </c>
      <c r="G20" s="10" t="inlineStr">
        <is>
          <t>2</t>
        </is>
      </c>
      <c r="H20" s="10" t="inlineStr">
        <is>
          <t>RPE 7</t>
        </is>
      </c>
      <c r="I20" s="10" t="inlineStr">
        <is>
          <t>75s</t>
        </is>
      </c>
      <c r="J20" s="5" t="inlineStr">
        <is>
          <t>Hip-Thrust nur schmerzfrei; KEIN schwerer Hinge</t>
        </is>
      </c>
      <c r="K20" s="5" t="inlineStr">
        <is>
          <t>Gate</t>
        </is>
      </c>
      <c r="L20" s="5" t="inlineStr">
        <is>
          <t>Hamstrings/Glute</t>
        </is>
      </c>
    </row>
    <row r="21">
      <c r="A21" s="24" t="inlineStr">
        <is>
          <t>T3</t>
        </is>
      </c>
      <c r="B21" s="5" t="inlineStr">
        <is>
          <t>Bein</t>
        </is>
      </c>
      <c r="C21" s="5" t="inlineStr">
        <is>
          <t>Calves</t>
        </is>
      </c>
      <c r="D21" s="10" t="inlineStr">
        <is>
          <t>3x12-15</t>
        </is>
      </c>
      <c r="E21" s="10" t="inlineStr">
        <is>
          <t>3</t>
        </is>
      </c>
      <c r="F21" s="10" t="inlineStr">
        <is>
          <t>3</t>
        </is>
      </c>
      <c r="G21" s="10" t="inlineStr">
        <is>
          <t>2</t>
        </is>
      </c>
      <c r="H21" s="10" t="inlineStr">
        <is>
          <t>RPE 7</t>
        </is>
      </c>
      <c r="I21" s="10" t="inlineStr">
        <is>
          <t>45s</t>
        </is>
      </c>
      <c r="J21" s="5" t="inlineStr">
        <is>
          <t>Last/Reps +</t>
        </is>
      </c>
      <c r="K21" s="5" t="inlineStr">
        <is>
          <t>neutral</t>
        </is>
      </c>
      <c r="L21" s="5" t="inlineStr">
        <is>
          <t>Waden</t>
        </is>
      </c>
    </row>
    <row r="22">
      <c r="A22" s="24" t="inlineStr">
        <is>
          <t>T3</t>
        </is>
      </c>
      <c r="B22" s="5" t="inlineStr">
        <is>
          <t>BWS-Mobility</t>
        </is>
      </c>
      <c r="C22" s="5" t="inlineStr">
        <is>
          <t>BWS Extension/Rotation, ribs down, Atmung</t>
        </is>
      </c>
      <c r="D22" s="10" t="inlineStr">
        <is>
          <t>1 Block</t>
        </is>
      </c>
      <c r="E22" s="10" t="inlineStr">
        <is>
          <t>1</t>
        </is>
      </c>
      <c r="F22" s="10" t="inlineStr">
        <is>
          <t>1</t>
        </is>
      </c>
      <c r="G22" s="10" t="inlineStr">
        <is>
          <t>1</t>
        </is>
      </c>
      <c r="H22" s="10" t="inlineStr">
        <is>
          <t>Qual 4-5</t>
        </is>
      </c>
      <c r="I22" s="10" t="inlineStr">
        <is>
          <t>-</t>
        </is>
      </c>
      <c r="J22" s="5" t="inlineStr">
        <is>
          <t>fix; Protokoll in Rules</t>
        </is>
      </c>
      <c r="K22" s="5" t="inlineStr">
        <is>
          <t>Einklemm-Thema monitoren</t>
        </is>
      </c>
      <c r="L22" s="5" t="inlineStr">
        <is>
          <t>kein Ausstrahlen = ok</t>
        </is>
      </c>
    </row>
    <row r="23">
      <c r="A23" s="24" t="inlineStr">
        <is>
          <t>T3</t>
        </is>
      </c>
      <c r="B23" s="5" t="inlineStr">
        <is>
          <t>Core</t>
        </is>
      </c>
      <c r="C23" s="5" t="inlineStr">
        <is>
          <t>Pallof + Dead Bug + Side Plank</t>
        </is>
      </c>
      <c r="D23" s="10" t="inlineStr">
        <is>
          <t>2-3 je</t>
        </is>
      </c>
      <c r="E23" s="10" t="inlineStr">
        <is>
          <t>3</t>
        </is>
      </c>
      <c r="F23" s="10" t="inlineStr">
        <is>
          <t>3</t>
        </is>
      </c>
      <c r="G23" s="10" t="inlineStr">
        <is>
          <t>2</t>
        </is>
      </c>
      <c r="H23" s="10" t="inlineStr">
        <is>
          <t>Qual 4</t>
        </is>
      </c>
      <c r="I23" s="10" t="inlineStr">
        <is>
          <t>45-60s</t>
        </is>
      </c>
      <c r="J23" s="5" t="inlineStr">
        <is>
          <t>Anti-Ext/Anti-Rot/Anti-Lat</t>
        </is>
      </c>
      <c r="K23" s="5" t="inlineStr">
        <is>
          <t>Anti-Flexion</t>
        </is>
      </c>
      <c r="L23" s="5" t="inlineStr">
        <is>
          <t>LWS-schonend</t>
        </is>
      </c>
    </row>
    <row r="24">
      <c r="A24" s="25" t="inlineStr">
        <is>
          <t>T4</t>
        </is>
      </c>
      <c r="B24" s="5" t="inlineStr">
        <is>
          <t>Warm-up</t>
        </is>
      </c>
      <c r="C24" s="5" t="inlineStr">
        <is>
          <t>Laenger + Side-Body-Aktivierung</t>
        </is>
      </c>
      <c r="D24" s="10" t="inlineStr">
        <is>
          <t>1 Block</t>
        </is>
      </c>
      <c r="E24" s="10" t="inlineStr">
        <is>
          <t>1</t>
        </is>
      </c>
      <c r="F24" s="10" t="inlineStr">
        <is>
          <t>1</t>
        </is>
      </c>
      <c r="G24" s="10" t="inlineStr">
        <is>
          <t>1</t>
        </is>
      </c>
      <c r="H24" s="10" t="inlineStr">
        <is>
          <t>Qual 4-5</t>
        </is>
      </c>
      <c r="I24" s="10" t="inlineStr">
        <is>
          <t>-</t>
        </is>
      </c>
      <c r="J24" s="5" t="inlineStr">
        <is>
          <t>vor Flag noetig</t>
        </is>
      </c>
      <c r="K24" s="5" t="inlineStr">
        <is>
          <t>neutral</t>
        </is>
      </c>
      <c r="L24" s="5" t="inlineStr">
        <is>
          <t>Verletzungsschutz</t>
        </is>
      </c>
    </row>
    <row r="25">
      <c r="A25" s="25" t="inlineStr">
        <is>
          <t>T4</t>
        </is>
      </c>
      <c r="B25" s="5" t="inlineStr">
        <is>
          <t>Flag</t>
        </is>
      </c>
      <c r="C25" s="5" t="inlineStr">
        <is>
          <t>Supported Pre-Flag-Lean</t>
        </is>
      </c>
      <c r="D25" s="10" t="inlineStr">
        <is>
          <t>4 Entries/Seite</t>
        </is>
      </c>
      <c r="E25" s="10" t="inlineStr">
        <is>
          <t>4</t>
        </is>
      </c>
      <c r="F25" s="10" t="inlineStr">
        <is>
          <t>4-5</t>
        </is>
      </c>
      <c r="G25" s="10" t="inlineStr">
        <is>
          <t>beste</t>
        </is>
      </c>
      <c r="H25" s="10" t="inlineStr">
        <is>
          <t>Qual 4-5</t>
        </is>
      </c>
      <c r="I25" s="10" t="inlineStr">
        <is>
          <t>90s</t>
        </is>
      </c>
      <c r="J25" s="5" t="inlineStr">
        <is>
          <t>Support nur reduzieren wenn Re-Entry sauber</t>
        </is>
      </c>
      <c r="K25" s="5" t="inlineStr">
        <is>
          <t>kontrolliert</t>
        </is>
      </c>
      <c r="L25" s="5" t="inlineStr">
        <is>
          <t>Flag-Pfad</t>
        </is>
      </c>
    </row>
    <row r="26">
      <c r="A26" s="25" t="inlineStr">
        <is>
          <t>T4</t>
        </is>
      </c>
      <c r="B26" s="5" t="inlineStr">
        <is>
          <t>Flag</t>
        </is>
      </c>
      <c r="C26" s="5" t="inlineStr">
        <is>
          <t>Sideline / Mini-Flag-Hold + kontrollierter Return</t>
        </is>
      </c>
      <c r="D26" s="10" t="inlineStr">
        <is>
          <t>3/Seite</t>
        </is>
      </c>
      <c r="E26" s="10" t="inlineStr">
        <is>
          <t>3-4</t>
        </is>
      </c>
      <c r="F26" s="10" t="inlineStr">
        <is>
          <t>4</t>
        </is>
      </c>
      <c r="G26" s="10" t="inlineStr">
        <is>
          <t>beste</t>
        </is>
      </c>
      <c r="H26" s="10" t="inlineStr">
        <is>
          <t>Qual 4-5</t>
        </is>
      </c>
      <c r="I26" s="10" t="inlineStr">
        <is>
          <t>90s</t>
        </is>
      </c>
      <c r="J26" s="5" t="inlineStr">
        <is>
          <t>Hold-Zeit/Support progressiv</t>
        </is>
      </c>
      <c r="K26" s="5" t="inlineStr">
        <is>
          <t>kontrollierter Return</t>
        </is>
      </c>
      <c r="L26" s="5" t="inlineStr">
        <is>
          <t>seltene freie Versuche spaeter</t>
        </is>
      </c>
    </row>
    <row r="27">
      <c r="A27" s="25" t="inlineStr">
        <is>
          <t>T4</t>
        </is>
      </c>
      <c r="B27" s="5" t="inlineStr">
        <is>
          <t>90 Light</t>
        </is>
      </c>
      <c r="C27" s="5" t="inlineStr">
        <is>
          <t>90 leicht/assistiert ODER Negativ+Pause</t>
        </is>
      </c>
      <c r="D27" s="10" t="inlineStr">
        <is>
          <t>3-4x2-3</t>
        </is>
      </c>
      <c r="E27" s="10" t="inlineStr">
        <is>
          <t>4x2-3</t>
        </is>
      </c>
      <c r="F27" s="10" t="inlineStr">
        <is>
          <t>4x2</t>
        </is>
      </c>
      <c r="G27" s="10" t="inlineStr">
        <is>
          <t>2x2</t>
        </is>
      </c>
      <c r="H27" s="10" t="inlineStr">
        <is>
          <t>RPE 6-7</t>
        </is>
      </c>
      <c r="I27" s="10" t="inlineStr">
        <is>
          <t>2 min</t>
        </is>
      </c>
      <c r="J27" s="5" t="inlineStr">
        <is>
          <t>sauberes Volumen, KEIN Failure</t>
        </is>
      </c>
      <c r="K27" s="5" t="inlineStr">
        <is>
          <t>ribs down</t>
        </is>
      </c>
      <c r="L27" s="5" t="inlineStr">
        <is>
          <t>2. Wochendosis 90</t>
        </is>
      </c>
    </row>
    <row r="28">
      <c r="A28" s="25" t="inlineStr">
        <is>
          <t>T4</t>
        </is>
      </c>
      <c r="B28" s="5" t="inlineStr">
        <is>
          <t>Vertikal-Press</t>
        </is>
      </c>
      <c r="C28" s="5" t="inlineStr">
        <is>
          <t>Wall-HSPU / Pike / DB</t>
        </is>
      </c>
      <c r="D28" s="10" t="inlineStr">
        <is>
          <t>3x5-8</t>
        </is>
      </c>
      <c r="E28" s="10" t="inlineStr">
        <is>
          <t>3x6-8</t>
        </is>
      </c>
      <c r="F28" s="10" t="inlineStr">
        <is>
          <t>4x6</t>
        </is>
      </c>
      <c r="G28" s="10" t="inlineStr">
        <is>
          <t>2x6</t>
        </is>
      </c>
      <c r="H28" s="10" t="inlineStr">
        <is>
          <t>RPE 7-8</t>
        </is>
      </c>
      <c r="I28" s="10" t="inlineStr">
        <is>
          <t>90s</t>
        </is>
      </c>
      <c r="J28" s="5" t="inlineStr">
        <is>
          <t>ribs down, kein LWS-Arch</t>
        </is>
      </c>
      <c r="K28" s="5" t="inlineStr">
        <is>
          <t>kein Arch</t>
        </is>
      </c>
      <c r="L28" s="5" t="inlineStr">
        <is>
          <t>Vertikalkraft</t>
        </is>
      </c>
    </row>
    <row r="29">
      <c r="A29" s="25" t="inlineStr">
        <is>
          <t>T4</t>
        </is>
      </c>
      <c r="B29" s="5" t="inlineStr">
        <is>
          <t>Zug-Balance</t>
        </is>
      </c>
      <c r="C29" s="5" t="inlineStr">
        <is>
          <t>One-Arm / Chest-supported Row</t>
        </is>
      </c>
      <c r="D29" s="10" t="inlineStr">
        <is>
          <t>3x10/Seite</t>
        </is>
      </c>
      <c r="E29" s="10" t="inlineStr">
        <is>
          <t>3</t>
        </is>
      </c>
      <c r="F29" s="10" t="inlineStr">
        <is>
          <t>3</t>
        </is>
      </c>
      <c r="G29" s="10" t="inlineStr">
        <is>
          <t>2</t>
        </is>
      </c>
      <c r="H29" s="10" t="inlineStr">
        <is>
          <t>RPE 7</t>
        </is>
      </c>
      <c r="I29" s="10" t="inlineStr">
        <is>
          <t>75s</t>
        </is>
      </c>
      <c r="J29" s="5" t="inlineStr">
        <is>
          <t>rechts ggf. +</t>
        </is>
      </c>
      <c r="K29" s="5" t="inlineStr">
        <is>
          <t>gestuetzt</t>
        </is>
      </c>
      <c r="L29" s="5" t="inlineStr">
        <is>
          <t>Zug-Balance</t>
        </is>
      </c>
    </row>
    <row r="30">
      <c r="A30" s="26" t="inlineStr">
        <is>
          <t>T5</t>
        </is>
      </c>
      <c r="B30" s="5" t="inlineStr">
        <is>
          <t>90 Mikro</t>
        </is>
      </c>
      <c r="C30" s="5" t="inlineStr">
        <is>
          <t>90 Technik/Negativ-Mikro</t>
        </is>
      </c>
      <c r="D30" s="10" t="inlineStr">
        <is>
          <t>3x2</t>
        </is>
      </c>
      <c r="E30" s="10" t="inlineStr">
        <is>
          <t>3x2-3</t>
        </is>
      </c>
      <c r="F30" s="10" t="inlineStr">
        <is>
          <t>3x2</t>
        </is>
      </c>
      <c r="G30" s="10" t="inlineStr">
        <is>
          <t>2x2</t>
        </is>
      </c>
      <c r="H30" s="10" t="inlineStr">
        <is>
          <t>RPE 6-7 / Qual 4-5</t>
        </is>
      </c>
      <c r="I30" s="10" t="inlineStr">
        <is>
          <t>2 min</t>
        </is>
      </c>
      <c r="J30" s="5" t="inlineStr">
        <is>
          <t>3. Wochendosis, low volume, sauber</t>
        </is>
      </c>
      <c r="K30" s="5" t="inlineStr">
        <is>
          <t>neutral</t>
        </is>
      </c>
      <c r="L30" s="5" t="inlineStr">
        <is>
          <t>Technik scharf halten</t>
        </is>
      </c>
    </row>
    <row r="31">
      <c r="A31" s="26" t="inlineStr">
        <is>
          <t>T5</t>
        </is>
      </c>
      <c r="B31" s="5" t="inlineStr">
        <is>
          <t>Push-Pump</t>
        </is>
      </c>
      <c r="C31" s="5" t="inlineStr">
        <is>
          <t>Ring-Dips / Maschine / Deficit Push-up</t>
        </is>
      </c>
      <c r="D31" s="10" t="inlineStr">
        <is>
          <t>3x10-12</t>
        </is>
      </c>
      <c r="E31" s="10" t="inlineStr">
        <is>
          <t>3-4x10-12</t>
        </is>
      </c>
      <c r="F31" s="10" t="inlineStr">
        <is>
          <t>4x10</t>
        </is>
      </c>
      <c r="G31" s="10" t="inlineStr">
        <is>
          <t>2x12</t>
        </is>
      </c>
      <c r="H31" s="10" t="inlineStr">
        <is>
          <t>RPE 7-8</t>
        </is>
      </c>
      <c r="I31" s="10" t="inlineStr">
        <is>
          <t>75s</t>
        </is>
      </c>
      <c r="J31" s="5" t="inlineStr">
        <is>
          <t>getrimmt; bei Skill-Abfall zuerst kuerzen</t>
        </is>
      </c>
      <c r="K31" s="5" t="inlineStr">
        <is>
          <t>neutral</t>
        </is>
      </c>
      <c r="L31" s="5" t="inlineStr">
        <is>
          <t>Push-Hypertrophie</t>
        </is>
      </c>
    </row>
    <row r="32">
      <c r="A32" s="26" t="inlineStr">
        <is>
          <t>T5</t>
        </is>
      </c>
      <c r="B32" s="5" t="inlineStr">
        <is>
          <t>Pull-Pump</t>
        </is>
      </c>
      <c r="C32" s="5" t="inlineStr">
        <is>
          <t>Row + Pulldown/Chin</t>
        </is>
      </c>
      <c r="D32" s="10" t="inlineStr">
        <is>
          <t>3x10-12</t>
        </is>
      </c>
      <c r="E32" s="10" t="inlineStr">
        <is>
          <t>4x10-12</t>
        </is>
      </c>
      <c r="F32" s="10" t="inlineStr">
        <is>
          <t>4x10</t>
        </is>
      </c>
      <c r="G32" s="10" t="inlineStr">
        <is>
          <t>2x12</t>
        </is>
      </c>
      <c r="H32" s="10" t="inlineStr">
        <is>
          <t>RPE 7-8</t>
        </is>
      </c>
      <c r="I32" s="10" t="inlineStr">
        <is>
          <t>75s</t>
        </is>
      </c>
      <c r="J32" s="5" t="inlineStr">
        <is>
          <t>komplettiert Wochen-Zug</t>
        </is>
      </c>
      <c r="K32" s="5" t="inlineStr">
        <is>
          <t>neutral</t>
        </is>
      </c>
      <c r="L32" s="5" t="inlineStr">
        <is>
          <t>Pull-Hypertrophie</t>
        </is>
      </c>
    </row>
    <row r="33">
      <c r="A33" s="26" t="inlineStr">
        <is>
          <t>T5</t>
        </is>
      </c>
      <c r="B33" s="5" t="inlineStr">
        <is>
          <t>Schulter</t>
        </is>
      </c>
      <c r="C33" s="5" t="inlineStr">
        <is>
          <t>Lateral Raise + Rear-Delt</t>
        </is>
      </c>
      <c r="D33" s="10" t="inlineStr">
        <is>
          <t>2-3x12-15</t>
        </is>
      </c>
      <c r="E33" s="10" t="inlineStr">
        <is>
          <t>3</t>
        </is>
      </c>
      <c r="F33" s="10" t="inlineStr">
        <is>
          <t>3</t>
        </is>
      </c>
      <c r="G33" s="10" t="inlineStr">
        <is>
          <t>2</t>
        </is>
      </c>
      <c r="H33" s="10" t="inlineStr">
        <is>
          <t>RPE 6-7</t>
        </is>
      </c>
      <c r="I33" s="10" t="inlineStr">
        <is>
          <t>45s</t>
        </is>
      </c>
      <c r="J33" s="5" t="inlineStr">
        <is>
          <t>getrimmt</t>
        </is>
      </c>
      <c r="K33" s="5" t="inlineStr">
        <is>
          <t>neutral</t>
        </is>
      </c>
      <c r="L33" s="5" t="inlineStr">
        <is>
          <t>Schultern</t>
        </is>
      </c>
    </row>
    <row r="34">
      <c r="A34" s="26" t="inlineStr">
        <is>
          <t>T5</t>
        </is>
      </c>
      <c r="B34" s="5" t="inlineStr">
        <is>
          <t>Arme opt.</t>
        </is>
      </c>
      <c r="C34" s="5" t="inlineStr">
        <is>
          <t>Biceps / Triceps</t>
        </is>
      </c>
      <c r="D34" s="10" t="inlineStr">
        <is>
          <t>2x10-15</t>
        </is>
      </c>
      <c r="E34" s="10" t="inlineStr">
        <is>
          <t>2-3</t>
        </is>
      </c>
      <c r="F34" s="10" t="inlineStr">
        <is>
          <t>2</t>
        </is>
      </c>
      <c r="G34" s="10" t="inlineStr">
        <is>
          <t>1</t>
        </is>
      </c>
      <c r="H34" s="10" t="inlineStr">
        <is>
          <t>RPE 7</t>
        </is>
      </c>
      <c r="I34" s="10" t="inlineStr">
        <is>
          <t>45s</t>
        </is>
      </c>
      <c r="J34" s="5" t="inlineStr">
        <is>
          <t>optional, nur wenn Recovery ok</t>
        </is>
      </c>
      <c r="K34" s="5" t="inlineStr">
        <is>
          <t>neutral</t>
        </is>
      </c>
      <c r="L34" s="5" t="inlineStr">
        <is>
          <t>Arme</t>
        </is>
      </c>
    </row>
    <row r="35">
      <c r="A35" s="26" t="inlineStr">
        <is>
          <t>T5</t>
        </is>
      </c>
      <c r="B35" s="5" t="inlineStr">
        <is>
          <t>Regen</t>
        </is>
      </c>
      <c r="C35" s="5" t="inlineStr">
        <is>
          <t>BWS-Mobility + Lat/Pec/Forearm + Atmung-Downshift</t>
        </is>
      </c>
      <c r="D35" s="10" t="inlineStr">
        <is>
          <t>1 Block</t>
        </is>
      </c>
      <c r="E35" s="10" t="inlineStr">
        <is>
          <t>1</t>
        </is>
      </c>
      <c r="F35" s="10" t="inlineStr">
        <is>
          <t>1</t>
        </is>
      </c>
      <c r="G35" s="10" t="inlineStr">
        <is>
          <t>1</t>
        </is>
      </c>
      <c r="H35" s="10" t="inlineStr">
        <is>
          <t>Qual 4-5</t>
        </is>
      </c>
      <c r="I35" s="10" t="inlineStr">
        <is>
          <t>-</t>
        </is>
      </c>
      <c r="J35" s="5" t="inlineStr">
        <is>
          <t>Downshift Parasympathikus</t>
        </is>
      </c>
      <c r="K35" s="5" t="inlineStr">
        <is>
          <t>BWS-Pflege</t>
        </is>
      </c>
      <c r="L35" s="5" t="inlineStr">
        <is>
          <t>Recovery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30" customWidth="1" min="3" max="3"/>
    <col width="12" customWidth="1" min="4" max="4"/>
    <col width="24" customWidth="1" min="5" max="5"/>
    <col width="11" customWidth="1" min="6" max="6"/>
    <col width="11" customWidth="1" min="7" max="7"/>
    <col width="11" customWidth="1" min="8" max="8"/>
    <col width="3" customWidth="1" min="9" max="9"/>
    <col width="3" customWidth="1" min="10" max="10"/>
    <col width="12" customWidth="1" min="11" max="11"/>
  </cols>
  <sheetData>
    <row r="1">
      <c r="A1" s="1" t="inlineStr">
        <is>
          <t>B6 — Exercise Library (Referenz fuer Voice-Logging)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6" t="inlineStr">
        <is>
          <t>Aliase Komma-getrennt, deutsch + englisch. Das Logging-Modell mappt gesprochene Begriffe ueber diese Tabelle auf die ExerciseID. TracksLoad/Hold/Side = J/N.</t>
        </is>
      </c>
    </row>
    <row r="3">
      <c r="A3" s="11" t="inlineStr">
        <is>
          <t>ExerciseID</t>
        </is>
      </c>
      <c r="B3" s="11" t="inlineStr">
        <is>
          <t>Aliases</t>
        </is>
      </c>
      <c r="C3" s="11" t="inlineStr">
        <is>
          <t>DisplayName</t>
        </is>
      </c>
      <c r="D3" s="11" t="inlineStr">
        <is>
          <t>Category</t>
        </is>
      </c>
      <c r="E3" s="11" t="inlineStr">
        <is>
          <t>MuscleTag</t>
        </is>
      </c>
      <c r="F3" s="11" t="inlineStr">
        <is>
          <t>TracksLoad</t>
        </is>
      </c>
      <c r="G3" s="11" t="inlineStr">
        <is>
          <t>TracksHold</t>
        </is>
      </c>
      <c r="H3" s="11" t="inlineStr">
        <is>
          <t>TracksSide</t>
        </is>
      </c>
      <c r="K3" s="11" t="inlineStr">
        <is>
          <t>DayTypes</t>
        </is>
      </c>
    </row>
    <row r="4">
      <c r="A4" s="18" t="inlineStr">
        <is>
          <t>90</t>
        </is>
      </c>
      <c r="B4" s="20" t="inlineStr">
        <is>
          <t>neunzig grad,90,90 grad,90 grad liegestuetz,ninety,90 degree push up,neunzig</t>
        </is>
      </c>
      <c r="C4" s="20" t="inlineStr">
        <is>
          <t>90 Degree Push-up</t>
        </is>
      </c>
      <c r="D4" s="20" t="inlineStr">
        <is>
          <t>Skill90</t>
        </is>
      </c>
      <c r="E4" s="20" t="inlineStr">
        <is>
          <t>Brust/Schulter/Planche</t>
        </is>
      </c>
      <c r="F4" s="18" t="inlineStr">
        <is>
          <t>N</t>
        </is>
      </c>
      <c r="G4" s="18" t="inlineStr">
        <is>
          <t>N</t>
        </is>
      </c>
      <c r="H4" s="18" t="inlineStr">
        <is>
          <t>N</t>
        </is>
      </c>
      <c r="K4" s="10" t="inlineStr">
        <is>
          <t>T1</t>
        </is>
      </c>
    </row>
    <row r="5">
      <c r="A5" s="10" t="inlineStr">
        <is>
          <t>OAHS_line</t>
        </is>
      </c>
      <c r="B5" s="5" t="inlineStr">
        <is>
          <t>oahs,oahs line,einarmiger handstand,one arm handstand,weight shift,gewichtsverlagerung,oahs holds</t>
        </is>
      </c>
      <c r="C5" s="5" t="inlineStr">
        <is>
          <t>OAHS Line / Weight-Shift / Holds</t>
        </is>
      </c>
      <c r="D5" s="5" t="inlineStr">
        <is>
          <t>SkillOAHS</t>
        </is>
      </c>
      <c r="E5" s="5" t="inlineStr">
        <is>
          <t>Schulter/Core/Balance</t>
        </is>
      </c>
      <c r="F5" s="10" t="inlineStr">
        <is>
          <t>N</t>
        </is>
      </c>
      <c r="G5" s="10" t="inlineStr">
        <is>
          <t>J</t>
        </is>
      </c>
      <c r="H5" s="10" t="inlineStr">
        <is>
          <t>J</t>
        </is>
      </c>
      <c r="K5" s="10" t="inlineStr">
        <is>
          <t>T2</t>
        </is>
      </c>
    </row>
    <row r="6">
      <c r="A6" s="18" t="inlineStr">
        <is>
          <t>OAHS_shapes</t>
        </is>
      </c>
      <c r="B6" s="20" t="inlineStr">
        <is>
          <t>oahs shapes,straddle,half straddle,diamond,legs together,oahs formen,shape density</t>
        </is>
      </c>
      <c r="C6" s="20" t="inlineStr">
        <is>
          <t>OAHS Shape-Density</t>
        </is>
      </c>
      <c r="D6" s="20" t="inlineStr">
        <is>
          <t>SkillOAHS</t>
        </is>
      </c>
      <c r="E6" s="20" t="inlineStr">
        <is>
          <t>Schulter/Core/Balance</t>
        </is>
      </c>
      <c r="F6" s="18" t="inlineStr">
        <is>
          <t>N</t>
        </is>
      </c>
      <c r="G6" s="18" t="inlineStr">
        <is>
          <t>J</t>
        </is>
      </c>
      <c r="H6" s="18" t="inlineStr">
        <is>
          <t>J</t>
        </is>
      </c>
      <c r="K6" s="10" t="inlineStr">
        <is>
          <t>T3</t>
        </is>
      </c>
    </row>
    <row r="7">
      <c r="A7" s="10" t="inlineStr">
        <is>
          <t>HS_line</t>
        </is>
      </c>
      <c r="B7" s="5" t="inlineStr">
        <is>
          <t>handstand,handstand line,hs line,modern line,balance,handstand balance,linie</t>
        </is>
      </c>
      <c r="C7" s="5" t="inlineStr">
        <is>
          <t>Handstand Line / Balance</t>
        </is>
      </c>
      <c r="D7" s="5" t="inlineStr">
        <is>
          <t>SkillOAHS</t>
        </is>
      </c>
      <c r="E7" s="5" t="inlineStr">
        <is>
          <t>Schulter/Core/Balance</t>
        </is>
      </c>
      <c r="F7" s="10" t="inlineStr">
        <is>
          <t>N</t>
        </is>
      </c>
      <c r="G7" s="10" t="inlineStr">
        <is>
          <t>J</t>
        </is>
      </c>
      <c r="H7" s="10" t="inlineStr">
        <is>
          <t>N</t>
        </is>
      </c>
      <c r="K7" s="10" t="inlineStr">
        <is>
          <t>T4</t>
        </is>
      </c>
    </row>
    <row r="8">
      <c r="A8" s="18" t="inlineStr">
        <is>
          <t>OAHS_flag_supported</t>
        </is>
      </c>
      <c r="B8" s="20" t="inlineStr">
        <is>
          <t>supported flag,pre flag,supported pre flag,flag supported,unterstuetzter flag,pre flag lean</t>
        </is>
      </c>
      <c r="C8" s="20" t="inlineStr">
        <is>
          <t>Supported Pre-Flag Lean</t>
        </is>
      </c>
      <c r="D8" s="20" t="inlineStr">
        <is>
          <t>SkillFlag</t>
        </is>
      </c>
      <c r="E8" s="20" t="inlineStr">
        <is>
          <t>Schulter/Side-Body</t>
        </is>
      </c>
      <c r="F8" s="18" t="inlineStr">
        <is>
          <t>N</t>
        </is>
      </c>
      <c r="G8" s="18" t="inlineStr">
        <is>
          <t>J</t>
        </is>
      </c>
      <c r="H8" s="18" t="inlineStr">
        <is>
          <t>J</t>
        </is>
      </c>
      <c r="K8" s="10" t="inlineStr">
        <is>
          <t>T5</t>
        </is>
      </c>
    </row>
    <row r="9">
      <c r="A9" s="10" t="inlineStr">
        <is>
          <t>flag_sideline</t>
        </is>
      </c>
      <c r="B9" s="5" t="inlineStr">
        <is>
          <t>sideline,sideline hold,mini flag,flag hold,flag,seitlicher flag</t>
        </is>
      </c>
      <c r="C9" s="5" t="inlineStr">
        <is>
          <t>Sideline / Mini-Flag Hold</t>
        </is>
      </c>
      <c r="D9" s="5" t="inlineStr">
        <is>
          <t>SkillFlag</t>
        </is>
      </c>
      <c r="E9" s="5" t="inlineStr">
        <is>
          <t>Schulter/Side-Body</t>
        </is>
      </c>
      <c r="F9" s="10" t="inlineStr">
        <is>
          <t>N</t>
        </is>
      </c>
      <c r="G9" s="10" t="inlineStr">
        <is>
          <t>J</t>
        </is>
      </c>
      <c r="H9" s="10" t="inlineStr">
        <is>
          <t>J</t>
        </is>
      </c>
      <c r="K9" s="10" t="inlineStr">
        <is>
          <t>Rest</t>
        </is>
      </c>
    </row>
    <row r="10">
      <c r="A10" s="18" t="inlineStr">
        <is>
          <t>pseudo_planche_pushup</t>
        </is>
      </c>
      <c r="B10" s="20" t="inlineStr">
        <is>
          <t>pseudo planche,pseudo planche push up,ppp,pseudo planche liegestuetz</t>
        </is>
      </c>
      <c r="C10" s="20" t="inlineStr">
        <is>
          <t>Pseudo-Planche Push-up</t>
        </is>
      </c>
      <c r="D10" s="20" t="inlineStr">
        <is>
          <t>Planche</t>
        </is>
      </c>
      <c r="E10" s="20" t="inlineStr">
        <is>
          <t>Schulter/Brust</t>
        </is>
      </c>
      <c r="F10" s="18" t="inlineStr">
        <is>
          <t>N</t>
        </is>
      </c>
      <c r="G10" s="18" t="inlineStr">
        <is>
          <t>N</t>
        </is>
      </c>
      <c r="H10" s="18" t="inlineStr">
        <is>
          <t>N</t>
        </is>
      </c>
    </row>
    <row r="11">
      <c r="A11" s="10" t="inlineStr">
        <is>
          <t>planche_lean</t>
        </is>
      </c>
      <c r="B11" s="5" t="inlineStr">
        <is>
          <t>planche lean,lean,planche neigung,plankenlean</t>
        </is>
      </c>
      <c r="C11" s="5" t="inlineStr">
        <is>
          <t>Planche Lean</t>
        </is>
      </c>
      <c r="D11" s="5" t="inlineStr">
        <is>
          <t>Planche</t>
        </is>
      </c>
      <c r="E11" s="5" t="inlineStr">
        <is>
          <t>Schulter/Core</t>
        </is>
      </c>
      <c r="F11" s="10" t="inlineStr">
        <is>
          <t>N</t>
        </is>
      </c>
      <c r="G11" s="10" t="inlineStr">
        <is>
          <t>J</t>
        </is>
      </c>
      <c r="H11" s="10" t="inlineStr">
        <is>
          <t>N</t>
        </is>
      </c>
    </row>
    <row r="12">
      <c r="A12" s="18" t="inlineStr">
        <is>
          <t>planche_hold</t>
        </is>
      </c>
      <c r="B12" s="20" t="inlineStr">
        <is>
          <t>planche hold,tuck planche,advanced tuck,adv tuck,straddle planche,planche halten</t>
        </is>
      </c>
      <c r="C12" s="20" t="inlineStr">
        <is>
          <t>Planche Hold (Tuck/Adv/Straddle)</t>
        </is>
      </c>
      <c r="D12" s="20" t="inlineStr">
        <is>
          <t>Planche</t>
        </is>
      </c>
      <c r="E12" s="20" t="inlineStr">
        <is>
          <t>Schulter/Core</t>
        </is>
      </c>
      <c r="F12" s="18" t="inlineStr">
        <is>
          <t>N</t>
        </is>
      </c>
      <c r="G12" s="18" t="inlineStr">
        <is>
          <t>J</t>
        </is>
      </c>
      <c r="H12" s="18" t="inlineStr">
        <is>
          <t>N</t>
        </is>
      </c>
    </row>
    <row r="13">
      <c r="A13" s="10" t="inlineStr">
        <is>
          <t>WPU</t>
        </is>
      </c>
      <c r="B13" s="5" t="inlineStr">
        <is>
          <t>weighted pull up,wpu,gewichtetes klimmziehen,klimmzug mit gewicht,weighted pullup</t>
        </is>
      </c>
      <c r="C13" s="5" t="inlineStr">
        <is>
          <t>Weighted Pull-up</t>
        </is>
      </c>
      <c r="D13" s="5" t="inlineStr">
        <is>
          <t>Pull</t>
        </is>
      </c>
      <c r="E13" s="5" t="inlineStr">
        <is>
          <t>Lat/Biceps</t>
        </is>
      </c>
      <c r="F13" s="10" t="inlineStr">
        <is>
          <t>J</t>
        </is>
      </c>
      <c r="G13" s="10" t="inlineStr">
        <is>
          <t>N</t>
        </is>
      </c>
      <c r="H13" s="10" t="inlineStr">
        <is>
          <t>N</t>
        </is>
      </c>
    </row>
    <row r="14">
      <c r="A14" s="18" t="inlineStr">
        <is>
          <t>pullup</t>
        </is>
      </c>
      <c r="B14" s="20" t="inlineStr">
        <is>
          <t>pull up,pullup,klimmzug,klimmziehen</t>
        </is>
      </c>
      <c r="C14" s="20" t="inlineStr">
        <is>
          <t>Pull-up</t>
        </is>
      </c>
      <c r="D14" s="20" t="inlineStr">
        <is>
          <t>Pull</t>
        </is>
      </c>
      <c r="E14" s="20" t="inlineStr">
        <is>
          <t>Lat/Biceps</t>
        </is>
      </c>
      <c r="F14" s="18" t="inlineStr">
        <is>
          <t>J</t>
        </is>
      </c>
      <c r="G14" s="18" t="inlineStr">
        <is>
          <t>N</t>
        </is>
      </c>
      <c r="H14" s="18" t="inlineStr">
        <is>
          <t>N</t>
        </is>
      </c>
    </row>
    <row r="15">
      <c r="A15" s="10" t="inlineStr">
        <is>
          <t>chin_up</t>
        </is>
      </c>
      <c r="B15" s="5" t="inlineStr">
        <is>
          <t>chin up,chinup,kinnzug,unterhand klimmzug</t>
        </is>
      </c>
      <c r="C15" s="5" t="inlineStr">
        <is>
          <t>Chin-up</t>
        </is>
      </c>
      <c r="D15" s="5" t="inlineStr">
        <is>
          <t>Pull</t>
        </is>
      </c>
      <c r="E15" s="5" t="inlineStr">
        <is>
          <t>Lat/Biceps</t>
        </is>
      </c>
      <c r="F15" s="10" t="inlineStr">
        <is>
          <t>J</t>
        </is>
      </c>
      <c r="G15" s="10" t="inlineStr">
        <is>
          <t>N</t>
        </is>
      </c>
      <c r="H15" s="10" t="inlineStr">
        <is>
          <t>N</t>
        </is>
      </c>
    </row>
    <row r="16">
      <c r="A16" s="18" t="inlineStr">
        <is>
          <t>lat_pulldown</t>
        </is>
      </c>
      <c r="B16" s="20" t="inlineStr">
        <is>
          <t>lat pulldown,pulldown,latzug,latziehen</t>
        </is>
      </c>
      <c r="C16" s="20" t="inlineStr">
        <is>
          <t>Lat Pulldown</t>
        </is>
      </c>
      <c r="D16" s="20" t="inlineStr">
        <is>
          <t>Pull</t>
        </is>
      </c>
      <c r="E16" s="20" t="inlineStr">
        <is>
          <t>Lat</t>
        </is>
      </c>
      <c r="F16" s="18" t="inlineStr">
        <is>
          <t>J</t>
        </is>
      </c>
      <c r="G16" s="18" t="inlineStr">
        <is>
          <t>N</t>
        </is>
      </c>
      <c r="H16" s="18" t="inlineStr">
        <is>
          <t>N</t>
        </is>
      </c>
    </row>
    <row r="17">
      <c r="A17" s="10" t="inlineStr">
        <is>
          <t>chest_row</t>
        </is>
      </c>
      <c r="B17" s="5" t="inlineStr">
        <is>
          <t>chest supported row,seal row,brustgestuetztes rudern,seal row,rudern gestuetzt</t>
        </is>
      </c>
      <c r="C17" s="5" t="inlineStr">
        <is>
          <t>Chest-Supported / Seal Row</t>
        </is>
      </c>
      <c r="D17" s="5" t="inlineStr">
        <is>
          <t>Pull</t>
        </is>
      </c>
      <c r="E17" s="5" t="inlineStr">
        <is>
          <t>Oberer Ruecken</t>
        </is>
      </c>
      <c r="F17" s="10" t="inlineStr">
        <is>
          <t>J</t>
        </is>
      </c>
      <c r="G17" s="10" t="inlineStr">
        <is>
          <t>N</t>
        </is>
      </c>
      <c r="H17" s="10" t="inlineStr">
        <is>
          <t>N</t>
        </is>
      </c>
    </row>
    <row r="18">
      <c r="A18" s="18" t="inlineStr">
        <is>
          <t>oa_row</t>
        </is>
      </c>
      <c r="B18" s="20" t="inlineStr">
        <is>
          <t>one arm row,einarmiges rudern,oa row,unilateral row</t>
        </is>
      </c>
      <c r="C18" s="20" t="inlineStr">
        <is>
          <t>One-Arm Row</t>
        </is>
      </c>
      <c r="D18" s="20" t="inlineStr">
        <is>
          <t>Pull</t>
        </is>
      </c>
      <c r="E18" s="20" t="inlineStr">
        <is>
          <t>Oberer Ruecken</t>
        </is>
      </c>
      <c r="F18" s="18" t="inlineStr">
        <is>
          <t>J</t>
        </is>
      </c>
      <c r="G18" s="18" t="inlineStr">
        <is>
          <t>N</t>
        </is>
      </c>
      <c r="H18" s="18" t="inlineStr">
        <is>
          <t>J</t>
        </is>
      </c>
    </row>
    <row r="19">
      <c r="A19" s="10" t="inlineStr">
        <is>
          <t>rear_delt_fly</t>
        </is>
      </c>
      <c r="B19" s="5" t="inlineStr">
        <is>
          <t>rear delt fly,reverse fly,hintere schulter,rear delt</t>
        </is>
      </c>
      <c r="C19" s="5" t="inlineStr">
        <is>
          <t>Rear-Delt Fly</t>
        </is>
      </c>
      <c r="D19" s="5" t="inlineStr">
        <is>
          <t>Pull</t>
        </is>
      </c>
      <c r="E19" s="5" t="inlineStr">
        <is>
          <t>Hintere Schulter</t>
        </is>
      </c>
      <c r="F19" s="10" t="inlineStr">
        <is>
          <t>J</t>
        </is>
      </c>
      <c r="G19" s="10" t="inlineStr">
        <is>
          <t>N</t>
        </is>
      </c>
      <c r="H19" s="10" t="inlineStr">
        <is>
          <t>N</t>
        </is>
      </c>
    </row>
    <row r="20">
      <c r="A20" s="18" t="inlineStr">
        <is>
          <t>face_pull</t>
        </is>
      </c>
      <c r="B20" s="20" t="inlineStr">
        <is>
          <t>face pull,facepull,gesichtszug</t>
        </is>
      </c>
      <c r="C20" s="20" t="inlineStr">
        <is>
          <t>Face Pull</t>
        </is>
      </c>
      <c r="D20" s="20" t="inlineStr">
        <is>
          <t>Pull</t>
        </is>
      </c>
      <c r="E20" s="20" t="inlineStr">
        <is>
          <t>Hintere Schulter/Rotatoren</t>
        </is>
      </c>
      <c r="F20" s="18" t="inlineStr">
        <is>
          <t>J</t>
        </is>
      </c>
      <c r="G20" s="18" t="inlineStr">
        <is>
          <t>N</t>
        </is>
      </c>
      <c r="H20" s="18" t="inlineStr">
        <is>
          <t>N</t>
        </is>
      </c>
    </row>
    <row r="21">
      <c r="A21" s="10" t="inlineStr">
        <is>
          <t>scap_serratus</t>
        </is>
      </c>
      <c r="B21" s="5" t="inlineStr">
        <is>
          <t>scap,serratus,scapula,schulterblatt,scap pull,serratus push</t>
        </is>
      </c>
      <c r="C21" s="5" t="inlineStr">
        <is>
          <t>Scap / Serratus</t>
        </is>
      </c>
      <c r="D21" s="5" t="inlineStr">
        <is>
          <t>Mobility</t>
        </is>
      </c>
      <c r="E21" s="5" t="inlineStr">
        <is>
          <t>Schulterblatt</t>
        </is>
      </c>
      <c r="F21" s="10" t="inlineStr">
        <is>
          <t>N</t>
        </is>
      </c>
      <c r="G21" s="10" t="inlineStr">
        <is>
          <t>N</t>
        </is>
      </c>
      <c r="H21" s="10" t="inlineStr">
        <is>
          <t>N</t>
        </is>
      </c>
    </row>
    <row r="22">
      <c r="A22" s="18" t="inlineStr">
        <is>
          <t>ext_rotation</t>
        </is>
      </c>
      <c r="B22" s="20" t="inlineStr">
        <is>
          <t>external rotation,aussenrotation,ar,rotatorenmanschette,cuff</t>
        </is>
      </c>
      <c r="C22" s="20" t="inlineStr">
        <is>
          <t>External Rotation</t>
        </is>
      </c>
      <c r="D22" s="20" t="inlineStr">
        <is>
          <t>Mobility</t>
        </is>
      </c>
      <c r="E22" s="20" t="inlineStr">
        <is>
          <t>Rotatorenmanschette</t>
        </is>
      </c>
      <c r="F22" s="18" t="inlineStr">
        <is>
          <t>J</t>
        </is>
      </c>
      <c r="G22" s="18" t="inlineStr">
        <is>
          <t>N</t>
        </is>
      </c>
      <c r="H22" s="18" t="inlineStr">
        <is>
          <t>J</t>
        </is>
      </c>
    </row>
    <row r="23">
      <c r="A23" s="10" t="inlineStr">
        <is>
          <t>wall_hspu</t>
        </is>
      </c>
      <c r="B23" s="5" t="inlineStr">
        <is>
          <t>wall hspu,hspu,handstand push up,handstand liegestuetz,wand hspu</t>
        </is>
      </c>
      <c r="C23" s="5" t="inlineStr">
        <is>
          <t>Wall HSPU</t>
        </is>
      </c>
      <c r="D23" s="5" t="inlineStr">
        <is>
          <t>Push</t>
        </is>
      </c>
      <c r="E23" s="5" t="inlineStr">
        <is>
          <t>Schulter/Trizeps</t>
        </is>
      </c>
      <c r="F23" s="10" t="inlineStr">
        <is>
          <t>J</t>
        </is>
      </c>
      <c r="G23" s="10" t="inlineStr">
        <is>
          <t>N</t>
        </is>
      </c>
      <c r="H23" s="10" t="inlineStr">
        <is>
          <t>N</t>
        </is>
      </c>
    </row>
    <row r="24">
      <c r="A24" s="18" t="inlineStr">
        <is>
          <t>pike_press</t>
        </is>
      </c>
      <c r="B24" s="20" t="inlineStr">
        <is>
          <t>pike press,pike push up,db press,schulterdruecken,overhead press,ohp,pike</t>
        </is>
      </c>
      <c r="C24" s="20" t="inlineStr">
        <is>
          <t>Pike / DB Vertical Press</t>
        </is>
      </c>
      <c r="D24" s="20" t="inlineStr">
        <is>
          <t>Push</t>
        </is>
      </c>
      <c r="E24" s="20" t="inlineStr">
        <is>
          <t>Schulter</t>
        </is>
      </c>
      <c r="F24" s="18" t="inlineStr">
        <is>
          <t>J</t>
        </is>
      </c>
      <c r="G24" s="18" t="inlineStr">
        <is>
          <t>N</t>
        </is>
      </c>
      <c r="H24" s="18" t="inlineStr">
        <is>
          <t>N</t>
        </is>
      </c>
    </row>
    <row r="25">
      <c r="A25" s="10" t="inlineStr">
        <is>
          <t>ring_dips</t>
        </is>
      </c>
      <c r="B25" s="5" t="inlineStr">
        <is>
          <t>ring dips,dips,barren,ringdips</t>
        </is>
      </c>
      <c r="C25" s="5" t="inlineStr">
        <is>
          <t>Ring Dips / Dips</t>
        </is>
      </c>
      <c r="D25" s="5" t="inlineStr">
        <is>
          <t>Push</t>
        </is>
      </c>
      <c r="E25" s="5" t="inlineStr">
        <is>
          <t>Brust/Trizeps</t>
        </is>
      </c>
      <c r="F25" s="10" t="inlineStr">
        <is>
          <t>J</t>
        </is>
      </c>
      <c r="G25" s="10" t="inlineStr">
        <is>
          <t>N</t>
        </is>
      </c>
      <c r="H25" s="10" t="inlineStr">
        <is>
          <t>N</t>
        </is>
      </c>
    </row>
    <row r="26">
      <c r="A26" s="18" t="inlineStr">
        <is>
          <t>deficit_pushup</t>
        </is>
      </c>
      <c r="B26" s="20" t="inlineStr">
        <is>
          <t>deficit push up,deficit pushup,liegestuetz deficit,push up,liegestuetz</t>
        </is>
      </c>
      <c r="C26" s="20" t="inlineStr">
        <is>
          <t>Deficit Push-up</t>
        </is>
      </c>
      <c r="D26" s="20" t="inlineStr">
        <is>
          <t>Push</t>
        </is>
      </c>
      <c r="E26" s="20" t="inlineStr">
        <is>
          <t>Brust/Trizeps</t>
        </is>
      </c>
      <c r="F26" s="18" t="inlineStr">
        <is>
          <t>N</t>
        </is>
      </c>
      <c r="G26" s="18" t="inlineStr">
        <is>
          <t>N</t>
        </is>
      </c>
      <c r="H26" s="18" t="inlineStr">
        <is>
          <t>N</t>
        </is>
      </c>
    </row>
    <row r="27">
      <c r="A27" s="10" t="inlineStr">
        <is>
          <t>lateral_raise</t>
        </is>
      </c>
      <c r="B27" s="5" t="inlineStr">
        <is>
          <t>lateral raise,seitheben,lat raise,seitliches heben</t>
        </is>
      </c>
      <c r="C27" s="5" t="inlineStr">
        <is>
          <t>Lateral Raise</t>
        </is>
      </c>
      <c r="D27" s="5" t="inlineStr">
        <is>
          <t>Push</t>
        </is>
      </c>
      <c r="E27" s="5" t="inlineStr">
        <is>
          <t>Seitliche Schulter</t>
        </is>
      </c>
      <c r="F27" s="10" t="inlineStr">
        <is>
          <t>J</t>
        </is>
      </c>
      <c r="G27" s="10" t="inlineStr">
        <is>
          <t>N</t>
        </is>
      </c>
      <c r="H27" s="10" t="inlineStr">
        <is>
          <t>N</t>
        </is>
      </c>
    </row>
    <row r="28">
      <c r="A28" s="18" t="inlineStr">
        <is>
          <t>triceps</t>
        </is>
      </c>
      <c r="B28" s="20" t="inlineStr">
        <is>
          <t>triceps,trizeps,trizepsdruecken,pushdown</t>
        </is>
      </c>
      <c r="C28" s="20" t="inlineStr">
        <is>
          <t>Triceps</t>
        </is>
      </c>
      <c r="D28" s="20" t="inlineStr">
        <is>
          <t>Push</t>
        </is>
      </c>
      <c r="E28" s="20" t="inlineStr">
        <is>
          <t>Trizeps</t>
        </is>
      </c>
      <c r="F28" s="18" t="inlineStr">
        <is>
          <t>J</t>
        </is>
      </c>
      <c r="G28" s="18" t="inlineStr">
        <is>
          <t>N</t>
        </is>
      </c>
      <c r="H28" s="18" t="inlineStr">
        <is>
          <t>N</t>
        </is>
      </c>
    </row>
    <row r="29">
      <c r="A29" s="10" t="inlineStr">
        <is>
          <t>biceps</t>
        </is>
      </c>
      <c r="B29" s="5" t="inlineStr">
        <is>
          <t>biceps,bizeps,curl,bizeps curl</t>
        </is>
      </c>
      <c r="C29" s="5" t="inlineStr">
        <is>
          <t>Biceps</t>
        </is>
      </c>
      <c r="D29" s="5" t="inlineStr">
        <is>
          <t>Pull</t>
        </is>
      </c>
      <c r="E29" s="5" t="inlineStr">
        <is>
          <t>Bizeps</t>
        </is>
      </c>
      <c r="F29" s="10" t="inlineStr">
        <is>
          <t>J</t>
        </is>
      </c>
      <c r="G29" s="10" t="inlineStr">
        <is>
          <t>N</t>
        </is>
      </c>
      <c r="H29" s="10" t="inlineStr">
        <is>
          <t>N</t>
        </is>
      </c>
    </row>
    <row r="30">
      <c r="A30" s="18" t="inlineStr">
        <is>
          <t>bss</t>
        </is>
      </c>
      <c r="B30" s="20" t="inlineStr">
        <is>
          <t>bulgarian,bulgarian split squat,bss,split squat,ausfallschritt,ffe split squat,front foot elevated</t>
        </is>
      </c>
      <c r="C30" s="20" t="inlineStr">
        <is>
          <t>Bulgarian / FFE Split Squat</t>
        </is>
      </c>
      <c r="D30" s="20" t="inlineStr">
        <is>
          <t>Legs</t>
        </is>
      </c>
      <c r="E30" s="20" t="inlineStr">
        <is>
          <t>Quad/Glute</t>
        </is>
      </c>
      <c r="F30" s="18" t="inlineStr">
        <is>
          <t>J</t>
        </is>
      </c>
      <c r="G30" s="18" t="inlineStr">
        <is>
          <t>N</t>
        </is>
      </c>
      <c r="H30" s="18" t="inlineStr">
        <is>
          <t>J</t>
        </is>
      </c>
    </row>
    <row r="31">
      <c r="A31" s="10" t="inlineStr">
        <is>
          <t>leg_press</t>
        </is>
      </c>
      <c r="B31" s="5" t="inlineStr">
        <is>
          <t>leg press,beinpresse,hack squat,hack,belt squat,guertelkniebeuge</t>
        </is>
      </c>
      <c r="C31" s="5" t="inlineStr">
        <is>
          <t>Leg Press / Hack / Belt Squat</t>
        </is>
      </c>
      <c r="D31" s="5" t="inlineStr">
        <is>
          <t>Legs</t>
        </is>
      </c>
      <c r="E31" s="5" t="inlineStr">
        <is>
          <t>Quad/Glute</t>
        </is>
      </c>
      <c r="F31" s="10" t="inlineStr">
        <is>
          <t>J</t>
        </is>
      </c>
      <c r="G31" s="10" t="inlineStr">
        <is>
          <t>N</t>
        </is>
      </c>
      <c r="H31" s="10" t="inlineStr">
        <is>
          <t>N</t>
        </is>
      </c>
    </row>
    <row r="32">
      <c r="A32" s="18" t="inlineStr">
        <is>
          <t>ham_curl</t>
        </is>
      </c>
      <c r="B32" s="20" t="inlineStr">
        <is>
          <t>hamstring curl,beinbeuger,leg curl,beincurl</t>
        </is>
      </c>
      <c r="C32" s="20" t="inlineStr">
        <is>
          <t>Hamstring Curl</t>
        </is>
      </c>
      <c r="D32" s="20" t="inlineStr">
        <is>
          <t>Legs</t>
        </is>
      </c>
      <c r="E32" s="20" t="inlineStr">
        <is>
          <t>Hamstrings</t>
        </is>
      </c>
      <c r="F32" s="18" t="inlineStr">
        <is>
          <t>J</t>
        </is>
      </c>
      <c r="G32" s="18" t="inlineStr">
        <is>
          <t>N</t>
        </is>
      </c>
      <c r="H32" s="18" t="inlineStr">
        <is>
          <t>N</t>
        </is>
      </c>
    </row>
    <row r="33">
      <c r="A33" s="10" t="inlineStr">
        <is>
          <t>hip_thrust</t>
        </is>
      </c>
      <c r="B33" s="5" t="inlineStr">
        <is>
          <t>hip thrust,hueftstoss,glute bridge,hueftheben</t>
        </is>
      </c>
      <c r="C33" s="5" t="inlineStr">
        <is>
          <t>Hip Thrust</t>
        </is>
      </c>
      <c r="D33" s="5" t="inlineStr">
        <is>
          <t>Legs</t>
        </is>
      </c>
      <c r="E33" s="5" t="inlineStr">
        <is>
          <t>Glute</t>
        </is>
      </c>
      <c r="F33" s="10" t="inlineStr">
        <is>
          <t>J</t>
        </is>
      </c>
      <c r="G33" s="10" t="inlineStr">
        <is>
          <t>N</t>
        </is>
      </c>
      <c r="H33" s="10" t="inlineStr">
        <is>
          <t>N</t>
        </is>
      </c>
    </row>
    <row r="34">
      <c r="A34" s="18" t="inlineStr">
        <is>
          <t>back_ext_iso</t>
        </is>
      </c>
      <c r="B34" s="20" t="inlineStr">
        <is>
          <t>back extension,rueckenstrecker,back ext iso,hyperextension,iso hold ruecken</t>
        </is>
      </c>
      <c r="C34" s="20" t="inlineStr">
        <is>
          <t>Back-Extension Iso</t>
        </is>
      </c>
      <c r="D34" s="20" t="inlineStr">
        <is>
          <t>Legs</t>
        </is>
      </c>
      <c r="E34" s="20" t="inlineStr">
        <is>
          <t>Posteriore Kette/LWS</t>
        </is>
      </c>
      <c r="F34" s="18" t="inlineStr">
        <is>
          <t>N</t>
        </is>
      </c>
      <c r="G34" s="18" t="inlineStr">
        <is>
          <t>J</t>
        </is>
      </c>
      <c r="H34" s="18" t="inlineStr">
        <is>
          <t>N</t>
        </is>
      </c>
    </row>
    <row r="35">
      <c r="A35" s="10" t="inlineStr">
        <is>
          <t>calves</t>
        </is>
      </c>
      <c r="B35" s="5" t="inlineStr">
        <is>
          <t>calves,waden,wadenheben,calf raise</t>
        </is>
      </c>
      <c r="C35" s="5" t="inlineStr">
        <is>
          <t>Calves</t>
        </is>
      </c>
      <c r="D35" s="5" t="inlineStr">
        <is>
          <t>Legs</t>
        </is>
      </c>
      <c r="E35" s="5" t="inlineStr">
        <is>
          <t>Waden</t>
        </is>
      </c>
      <c r="F35" s="10" t="inlineStr">
        <is>
          <t>J</t>
        </is>
      </c>
      <c r="G35" s="10" t="inlineStr">
        <is>
          <t>N</t>
        </is>
      </c>
      <c r="H35" s="10" t="inlineStr">
        <is>
          <t>N</t>
        </is>
      </c>
    </row>
    <row r="36">
      <c r="A36" s="18" t="inlineStr">
        <is>
          <t>hinge_pattern</t>
        </is>
      </c>
      <c r="B36" s="20" t="inlineStr">
        <is>
          <t>hinge,hinge pattern,dowel hinge,hueftbeuge,rdl pattern,deadlift pattern,scharnier</t>
        </is>
      </c>
      <c r="C36" s="20" t="inlineStr">
        <is>
          <t>Hinge Pattern (Dowel/Rebuild)</t>
        </is>
      </c>
      <c r="D36" s="20" t="inlineStr">
        <is>
          <t>Legs</t>
        </is>
      </c>
      <c r="E36" s="20" t="inlineStr">
        <is>
          <t>Posteriore Kette/LWS</t>
        </is>
      </c>
      <c r="F36" s="18" t="inlineStr">
        <is>
          <t>J</t>
        </is>
      </c>
      <c r="G36" s="18" t="inlineStr">
        <is>
          <t>N</t>
        </is>
      </c>
      <c r="H36" s="18" t="inlineStr">
        <is>
          <t>N</t>
        </is>
      </c>
    </row>
    <row r="37">
      <c r="A37" s="10" t="inlineStr">
        <is>
          <t>pallof</t>
        </is>
      </c>
      <c r="B37" s="5" t="inlineStr">
        <is>
          <t>pallof,pallof press,anti rotation</t>
        </is>
      </c>
      <c r="C37" s="5" t="inlineStr">
        <is>
          <t>Pallof Press</t>
        </is>
      </c>
      <c r="D37" s="5" t="inlineStr">
        <is>
          <t>Core</t>
        </is>
      </c>
      <c r="E37" s="5" t="inlineStr">
        <is>
          <t>Anti-Rotation</t>
        </is>
      </c>
      <c r="F37" s="10" t="inlineStr">
        <is>
          <t>J</t>
        </is>
      </c>
      <c r="G37" s="10" t="inlineStr">
        <is>
          <t>N</t>
        </is>
      </c>
      <c r="H37" s="10" t="inlineStr">
        <is>
          <t>J</t>
        </is>
      </c>
    </row>
    <row r="38">
      <c r="A38" s="18" t="inlineStr">
        <is>
          <t>dead_bug</t>
        </is>
      </c>
      <c r="B38" s="20" t="inlineStr">
        <is>
          <t>dead bug,deadbug,toter kaefer</t>
        </is>
      </c>
      <c r="C38" s="20" t="inlineStr">
        <is>
          <t>Dead Bug</t>
        </is>
      </c>
      <c r="D38" s="20" t="inlineStr">
        <is>
          <t>Core</t>
        </is>
      </c>
      <c r="E38" s="20" t="inlineStr">
        <is>
          <t>Anti-Extension</t>
        </is>
      </c>
      <c r="F38" s="18" t="inlineStr">
        <is>
          <t>N</t>
        </is>
      </c>
      <c r="G38" s="18" t="inlineStr">
        <is>
          <t>N</t>
        </is>
      </c>
      <c r="H38" s="18" t="inlineStr">
        <is>
          <t>N</t>
        </is>
      </c>
    </row>
    <row r="39">
      <c r="A39" s="10" t="inlineStr">
        <is>
          <t>side_plank</t>
        </is>
      </c>
      <c r="B39" s="5" t="inlineStr">
        <is>
          <t>side plank,seitstuetz,seitlicher unterarmstuetz</t>
        </is>
      </c>
      <c r="C39" s="5" t="inlineStr">
        <is>
          <t>Side Plank</t>
        </is>
      </c>
      <c r="D39" s="5" t="inlineStr">
        <is>
          <t>Core</t>
        </is>
      </c>
      <c r="E39" s="5" t="inlineStr">
        <is>
          <t>Lateral/Anti-Lateral</t>
        </is>
      </c>
      <c r="F39" s="10" t="inlineStr">
        <is>
          <t>N</t>
        </is>
      </c>
      <c r="G39" s="10" t="inlineStr">
        <is>
          <t>J</t>
        </is>
      </c>
      <c r="H39" s="10" t="inlineStr">
        <is>
          <t>J</t>
        </is>
      </c>
    </row>
    <row r="40">
      <c r="A40" s="18" t="inlineStr">
        <is>
          <t>hollow</t>
        </is>
      </c>
      <c r="B40" s="20" t="inlineStr">
        <is>
          <t>hollow,hollow hold,hollow body,compression,kompression,hohlkreuz hold</t>
        </is>
      </c>
      <c r="C40" s="20" t="inlineStr">
        <is>
          <t>Hollow / Compression Core</t>
        </is>
      </c>
      <c r="D40" s="20" t="inlineStr">
        <is>
          <t>Core</t>
        </is>
      </c>
      <c r="E40" s="20" t="inlineStr">
        <is>
          <t>Anteriore Kette</t>
        </is>
      </c>
      <c r="F40" s="18" t="inlineStr">
        <is>
          <t>N</t>
        </is>
      </c>
      <c r="G40" s="18" t="inlineStr">
        <is>
          <t>J</t>
        </is>
      </c>
      <c r="H40" s="18" t="inlineStr">
        <is>
          <t>N</t>
        </is>
      </c>
    </row>
    <row r="41">
      <c r="A41" s="10" t="inlineStr">
        <is>
          <t>bws_mobility</t>
        </is>
      </c>
      <c r="B41" s="5" t="inlineStr">
        <is>
          <t>bws,bws mobility,brustwirbelsaeule,thoracic,t spine,extension rotation,ribs down,atmung,downshift</t>
        </is>
      </c>
      <c r="C41" s="5" t="inlineStr">
        <is>
          <t>BWS / Thoracic Mobility</t>
        </is>
      </c>
      <c r="D41" s="5" t="inlineStr">
        <is>
          <t>Mobility</t>
        </is>
      </c>
      <c r="E41" s="5" t="inlineStr">
        <is>
          <t>BWS/Atmung</t>
        </is>
      </c>
      <c r="F41" s="10" t="inlineStr">
        <is>
          <t>N</t>
        </is>
      </c>
      <c r="G41" s="10" t="inlineStr">
        <is>
          <t>J</t>
        </is>
      </c>
      <c r="H41" s="10" t="inlineStr">
        <is>
          <t>N</t>
        </is>
      </c>
    </row>
    <row r="42">
      <c r="A42" s="18" t="inlineStr">
        <is>
          <t>wrist_prep</t>
        </is>
      </c>
      <c r="B42" s="20" t="inlineStr">
        <is>
          <t>wrist prep,handgelenk,handgelenk prep,handgelenke,wrist warm up,wrist</t>
        </is>
      </c>
      <c r="C42" s="20" t="inlineStr">
        <is>
          <t>Wrist Prep</t>
        </is>
      </c>
      <c r="D42" s="20" t="inlineStr">
        <is>
          <t>Wrist</t>
        </is>
      </c>
      <c r="E42" s="20" t="inlineStr">
        <is>
          <t>Handgelenke</t>
        </is>
      </c>
      <c r="F42" s="18" t="inlineStr">
        <is>
          <t>N</t>
        </is>
      </c>
      <c r="G42" s="18" t="inlineStr">
        <is>
          <t>N</t>
        </is>
      </c>
      <c r="H42" s="18" t="inlineStr">
        <is>
          <t>N</t>
        </is>
      </c>
    </row>
    <row r="43">
      <c r="A43" s="10" t="inlineStr">
        <is>
          <t>wrist_strength</t>
        </is>
      </c>
      <c r="B43" s="5" t="inlineStr">
        <is>
          <t>wrist strength,handgelenk kraft,wrist curl,handgelenk kraeftigung</t>
        </is>
      </c>
      <c r="C43" s="5" t="inlineStr">
        <is>
          <t>Wrist Strengthening</t>
        </is>
      </c>
      <c r="D43" s="5" t="inlineStr">
        <is>
          <t>Wrist</t>
        </is>
      </c>
      <c r="E43" s="5" t="inlineStr">
        <is>
          <t>Handgelenke</t>
        </is>
      </c>
      <c r="F43" s="10" t="inlineStr">
        <is>
          <t>J</t>
        </is>
      </c>
      <c r="G43" s="10" t="inlineStr">
        <is>
          <t>N</t>
        </is>
      </c>
      <c r="H43" s="10" t="inlineStr">
        <is>
          <t>N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20" customWidth="1" min="4" max="4"/>
    <col width="12" customWidth="1" min="5" max="5"/>
    <col width="7" customWidth="1" min="6" max="6"/>
    <col width="7" customWidth="1" min="7" max="7"/>
    <col width="15" customWidth="1" min="8" max="8"/>
    <col width="9" customWidth="1" min="9" max="9"/>
    <col width="8" customWidth="1" min="10" max="10"/>
    <col width="10" customWidth="1" min="11" max="11"/>
    <col width="11" customWidth="1" min="12" max="12"/>
    <col width="11" customWidth="1" min="13" max="13"/>
    <col width="10" customWidth="1" min="14" max="14"/>
    <col width="42" customWidth="1" min="15" max="15"/>
    <col width="10" customWidth="1" min="16" max="16"/>
  </cols>
  <sheetData>
    <row r="1">
      <c r="A1" s="11" t="inlineStr">
        <is>
          <t>Date</t>
        </is>
      </c>
      <c r="B1" s="11" t="inlineStr">
        <is>
          <t>DayType</t>
        </is>
      </c>
      <c r="C1" s="11" t="inlineStr">
        <is>
          <t>Week</t>
        </is>
      </c>
      <c r="D1" s="11" t="inlineStr">
        <is>
          <t>ExerciseID</t>
        </is>
      </c>
      <c r="E1" s="11" t="inlineStr">
        <is>
          <t>Category</t>
        </is>
      </c>
      <c r="F1" s="11" t="inlineStr">
        <is>
          <t>Side</t>
        </is>
      </c>
      <c r="G1" s="11" t="inlineStr">
        <is>
          <t>Sets</t>
        </is>
      </c>
      <c r="H1" s="11" t="inlineStr">
        <is>
          <t>Reps_or_Scheme</t>
        </is>
      </c>
      <c r="I1" s="11" t="inlineStr">
        <is>
          <t>Load_kg</t>
        </is>
      </c>
      <c r="J1" s="11" t="inlineStr">
        <is>
          <t>TopRPE</t>
        </is>
      </c>
      <c r="K1" s="11" t="inlineStr">
        <is>
          <t>Pain_0_10</t>
        </is>
      </c>
      <c r="L1" s="11" t="inlineStr">
        <is>
          <t>Quality_0_5</t>
        </is>
      </c>
      <c r="M1" s="11" t="inlineStr">
        <is>
          <t>BestHold_s</t>
        </is>
      </c>
      <c r="N1" s="11" t="inlineStr">
        <is>
          <t>CleanReps</t>
        </is>
      </c>
      <c r="O1" s="11" t="inlineStr">
        <is>
          <t>Notes</t>
        </is>
      </c>
      <c r="P1" s="11" t="inlineStr">
        <is>
          <t>Key</t>
        </is>
      </c>
    </row>
    <row r="2">
      <c r="A2" s="27" t="n">
        <v>46181</v>
      </c>
      <c r="B2" s="10" t="inlineStr">
        <is>
          <t>T1</t>
        </is>
      </c>
      <c r="C2" s="10" t="n">
        <v>1</v>
      </c>
      <c r="D2" s="10" t="inlineStr">
        <is>
          <t>90</t>
        </is>
      </c>
      <c r="E2" s="10">
        <f>IFERROR(XLOOKUP([@ExerciseID],tblLib[ExerciseID],tblLib[Category]),"")</f>
        <v/>
      </c>
      <c r="F2" s="10" t="inlineStr">
        <is>
          <t>NA</t>
        </is>
      </c>
      <c r="G2" s="10" t="n">
        <v>5</v>
      </c>
      <c r="H2" s="5" t="inlineStr">
        <is>
          <t>1</t>
        </is>
      </c>
      <c r="I2" s="10" t="n">
        <v>0</v>
      </c>
      <c r="J2" s="10" t="n">
        <v>8.5</v>
      </c>
      <c r="K2" s="10" t="n">
        <v>1</v>
      </c>
      <c r="L2" s="10" t="n"/>
      <c r="M2" s="10" t="n"/>
      <c r="N2" s="10" t="n">
        <v>5</v>
      </c>
      <c r="O2" s="5" t="inlineStr">
        <is>
          <t>Demo-Zeile: 90 Grad schwer, je 1 saubere Rep, Handgelenk gut</t>
        </is>
      </c>
      <c r="P2" s="10">
        <f>[@DayType]&amp;"_W"&amp;[@Week]</f>
        <v/>
      </c>
    </row>
  </sheetData>
  <conditionalFormatting sqref="K2:K1000">
    <cfRule type="cellIs" priority="1" operator="greaterThanOrEqual" dxfId="2">
      <formula>4</formula>
    </cfRule>
    <cfRule type="cellIs" priority="2" operator="equal" dxfId="0">
      <formula>3</formula>
    </cfRule>
    <cfRule type="cellIs" priority="3" operator="between" dxfId="3">
      <formula>0</formula>
      <formula>2</formula>
    </cfRule>
  </conditionalFormatting>
  <conditionalFormatting sqref="J2:J1000">
    <cfRule type="cellIs" priority="4" operator="greaterThan" dxfId="4">
      <formula>8.5</formula>
    </cfRule>
  </conditionalFormatting>
  <dataValidations count="7">
    <dataValidation sqref="B2:B1000" showDropDown="0" showInputMessage="0" showErrorMessage="0" allowBlank="0" type="list">
      <formula1>DayTypes</formula1>
    </dataValidation>
    <dataValidation sqref="C2:C1000" showDropDown="0" showInputMessage="0" showErrorMessage="0" allowBlank="1" type="whole" operator="between">
      <formula1>1</formula1>
      <formula2>4</formula2>
    </dataValidation>
    <dataValidation sqref="D2:D1000" showDropDown="0" showInputMessage="0" showErrorMessage="0" allowBlank="0" type="list">
      <formula1>ExerciseIDs</formula1>
    </dataValidation>
    <dataValidation sqref="F2:F1000" showDropDown="0" showInputMessage="0" showErrorMessage="0" allowBlank="1" type="list">
      <formula1>"L,R,NA"</formula1>
    </dataValidation>
    <dataValidation sqref="J2:J1000" showDropDown="0" showInputMessage="0" showErrorMessage="0" allowBlank="1" type="decimal" operator="between">
      <formula1>0</formula1>
      <formula2>10</formula2>
    </dataValidation>
    <dataValidation sqref="K2:K1000" showDropDown="0" showInputMessage="0" showErrorMessage="0" allowBlank="1" type="whole" operator="between">
      <formula1>0</formula1>
      <formula2>10</formula2>
    </dataValidation>
    <dataValidation sqref="L2:L1000" showDropDown="0" showInputMessage="0" showErrorMessage="0" allowBlank="1" type="whole" operator="between">
      <formula1>0</formula1>
      <formula2>5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46" customWidth="1" min="7" max="7"/>
  </cols>
  <sheetData>
    <row r="1">
      <c r="A1" s="1" t="inlineStr">
        <is>
          <t>B6 — Nutrition Targets (Maintenance, KEIN Defizit)</t>
        </is>
      </c>
      <c r="B1" s="2" t="n"/>
      <c r="C1" s="2" t="n"/>
      <c r="D1" s="2" t="n"/>
      <c r="E1" s="2" t="n"/>
      <c r="F1" s="2" t="n"/>
      <c r="G1" s="2" t="n"/>
    </row>
    <row r="2"/>
    <row r="3">
      <c r="A3" s="8" t="inlineStr">
        <is>
          <t>Eingaben / Konstanten</t>
        </is>
      </c>
      <c r="B3" s="9" t="n"/>
      <c r="C3" s="9" t="n"/>
    </row>
    <row r="4">
      <c r="A4" s="13" t="inlineStr">
        <is>
          <t>Aktuelles Gewicht (kg)</t>
        </is>
      </c>
      <c r="B4" s="15" t="n">
        <v>80.8</v>
      </c>
      <c r="C4" s="5" t="inlineStr">
        <is>
          <t>CF: ausserhalb 80,5-81,0 wird rot markiert.</t>
        </is>
      </c>
      <c r="D4" s="6" t="n"/>
      <c r="E4" s="6" t="n"/>
      <c r="F4" s="6" t="n"/>
      <c r="G4" s="7" t="n"/>
    </row>
    <row r="5">
      <c r="A5" s="13" t="inlineStr">
        <is>
          <t>Zielkorridor (kg)</t>
        </is>
      </c>
      <c r="B5" s="10" t="inlineStr">
        <is>
          <t>80,5 - 81,0</t>
        </is>
      </c>
    </row>
    <row r="6">
      <c r="A6" s="13" t="inlineStr">
        <is>
          <t>Protein g/kg</t>
        </is>
      </c>
      <c r="B6" s="15" t="n">
        <v>2.2</v>
      </c>
      <c r="C6" s="5" t="inlineStr">
        <is>
          <t>Protein 2,1-2,3 g/kg (~170-185 g). Fett &gt;=0,8 g/kg. Rest = Carbs um Training.</t>
        </is>
      </c>
      <c r="D6" s="6" t="n"/>
      <c r="E6" s="6" t="n"/>
      <c r="F6" s="6" t="n"/>
      <c r="G6" s="7" t="n"/>
    </row>
    <row r="7">
      <c r="A7" s="13" t="inlineStr">
        <is>
          <t>Fett g/kg (Minimum)</t>
        </is>
      </c>
      <c r="B7" s="15" t="n">
        <v>0.9</v>
      </c>
    </row>
    <row r="8">
      <c r="A8" s="13" t="inlineStr">
        <is>
          <t>Maintenance Basis (kcal)</t>
        </is>
      </c>
      <c r="B8" s="14" t="n">
        <v>2700</v>
      </c>
    </row>
    <row r="9">
      <c r="A9" s="13" t="inlineStr">
        <is>
          <t>Protein-Ziel (g) [Formel]</t>
        </is>
      </c>
      <c r="B9" s="14">
        <f>ROUND(BW*B6,0)</f>
        <v/>
      </c>
    </row>
    <row r="10">
      <c r="A10" s="13" t="inlineStr">
        <is>
          <t>Fett-Minimum (g) [Formel]</t>
        </is>
      </c>
      <c r="B10" s="14">
        <f>ROUND(BW*B7,0)</f>
        <v/>
      </c>
    </row>
    <row r="11"/>
    <row r="12">
      <c r="A12" s="8" t="inlineStr">
        <is>
          <t>Day-Types: kcal &amp; Makros (Carbs per Formel = Rest)</t>
        </is>
      </c>
      <c r="B12" s="9" t="n"/>
      <c r="C12" s="9" t="n"/>
      <c r="D12" s="9" t="n"/>
      <c r="E12" s="9" t="n"/>
      <c r="F12" s="9" t="n"/>
      <c r="G12" s="9" t="n"/>
    </row>
    <row r="13">
      <c r="A13" s="11" t="inlineStr">
        <is>
          <t>Day Type</t>
        </is>
      </c>
      <c r="B13" s="11" t="inlineStr">
        <is>
          <t>kcal-Delta</t>
        </is>
      </c>
      <c r="C13" s="11" t="inlineStr">
        <is>
          <t>kcal-Ziel</t>
        </is>
      </c>
      <c r="D13" s="11" t="inlineStr">
        <is>
          <t>Protein (g)</t>
        </is>
      </c>
      <c r="E13" s="11" t="inlineStr">
        <is>
          <t>Fett (g)</t>
        </is>
      </c>
      <c r="F13" s="11" t="inlineStr">
        <is>
          <t>Carbs (g)</t>
        </is>
      </c>
      <c r="G13" s="11" t="inlineStr">
        <is>
          <t>Hinweis</t>
        </is>
      </c>
    </row>
    <row r="14">
      <c r="A14" s="13" t="inlineStr">
        <is>
          <t>T1 (CNS/heavy)</t>
        </is>
      </c>
      <c r="B14" s="28" t="n">
        <v>250</v>
      </c>
      <c r="C14" s="14">
        <f>$B$8+B14</f>
        <v/>
      </c>
      <c r="D14" s="14">
        <f>$B$9</f>
        <v/>
      </c>
      <c r="E14" s="14">
        <f>$B$10</f>
        <v/>
      </c>
      <c r="F14" s="14">
        <f>ROUND((C14-D14*4-E14*9)/4,0)</f>
        <v/>
      </c>
      <c r="G14" s="5" t="inlineStr">
        <is>
          <t>Mini-Refeed-Option: mehr Carbs vor schwerem Skill-Tag</t>
        </is>
      </c>
    </row>
    <row r="15">
      <c r="A15" s="13" t="inlineStr">
        <is>
          <t>T2</t>
        </is>
      </c>
      <c r="B15" s="28" t="n">
        <v>150</v>
      </c>
      <c r="C15" s="14">
        <f>$B$8+B15</f>
        <v/>
      </c>
      <c r="D15" s="14">
        <f>$B$9</f>
        <v/>
      </c>
      <c r="E15" s="14">
        <f>$B$10</f>
        <v/>
      </c>
      <c r="F15" s="14">
        <f>ROUND((C15-D15*4-E15*9)/4,0)</f>
        <v/>
      </c>
      <c r="G15" s="5" t="inlineStr">
        <is>
          <t>Pull-Volumen, moderate Carbs</t>
        </is>
      </c>
    </row>
    <row r="16">
      <c r="A16" s="13" t="inlineStr">
        <is>
          <t>T3 (Beine)</t>
        </is>
      </c>
      <c r="B16" s="28" t="n">
        <v>200</v>
      </c>
      <c r="C16" s="14">
        <f>$B$8+B16</f>
        <v/>
      </c>
      <c r="D16" s="14">
        <f>$B$9</f>
        <v/>
      </c>
      <c r="E16" s="14">
        <f>$B$10</f>
        <v/>
      </c>
      <c r="F16" s="14">
        <f>ROUND((C16-D16*4-E16*9)/4,0)</f>
        <v/>
      </c>
      <c r="G16" s="5" t="inlineStr">
        <is>
          <t>Beinlast, Carbs hoch</t>
        </is>
      </c>
    </row>
    <row r="17">
      <c r="A17" s="13" t="inlineStr">
        <is>
          <t>T4 (Flag)</t>
        </is>
      </c>
      <c r="B17" s="28" t="n">
        <v>150</v>
      </c>
      <c r="C17" s="14">
        <f>$B$8+B17</f>
        <v/>
      </c>
      <c r="D17" s="14">
        <f>$B$9</f>
        <v/>
      </c>
      <c r="E17" s="14">
        <f>$B$10</f>
        <v/>
      </c>
      <c r="F17" s="14">
        <f>ROUND((C17-D17*4-E17*9)/4,0)</f>
        <v/>
      </c>
      <c r="G17" s="5" t="inlineStr">
        <is>
          <t>Skill-lastig, Carbs moderat-hoch</t>
        </is>
      </c>
    </row>
    <row r="18">
      <c r="A18" s="13" t="inlineStr">
        <is>
          <t>T5 (Pump)</t>
        </is>
      </c>
      <c r="B18" s="28" t="n">
        <v>100</v>
      </c>
      <c r="C18" s="14">
        <f>$B$8+B18</f>
        <v/>
      </c>
      <c r="D18" s="14">
        <f>$B$9</f>
        <v/>
      </c>
      <c r="E18" s="14">
        <f>$B$10</f>
        <v/>
      </c>
      <c r="F18" s="14">
        <f>ROUND((C18-D18*4-E18*9)/4,0)</f>
        <v/>
      </c>
      <c r="G18" s="5" t="inlineStr">
        <is>
          <t>Hypertrophie getrimmt</t>
        </is>
      </c>
    </row>
    <row r="19">
      <c r="A19" s="13" t="inlineStr">
        <is>
          <t>Rest</t>
        </is>
      </c>
      <c r="B19" s="28" t="n">
        <v>-150</v>
      </c>
      <c r="C19" s="14">
        <f>$B$8+B19</f>
        <v/>
      </c>
      <c r="D19" s="14">
        <f>$B$9</f>
        <v/>
      </c>
      <c r="E19" s="14">
        <f>$B$10</f>
        <v/>
      </c>
      <c r="F19" s="14">
        <f>ROUND((C19-D19*4-E19*9)/4,0)</f>
        <v/>
      </c>
      <c r="G19" s="5" t="inlineStr">
        <is>
          <t>Ruhetag, Carbs runter, Protein halten</t>
        </is>
      </c>
    </row>
    <row r="20"/>
    <row r="21">
      <c r="A21" s="8" t="inlineStr">
        <is>
          <t>Anpass-Trigger</t>
        </is>
      </c>
      <c r="B21" s="9" t="n"/>
      <c r="C21" s="9" t="n"/>
      <c r="D21" s="9" t="n"/>
      <c r="E21" s="9" t="n"/>
      <c r="F21" s="9" t="n"/>
      <c r="G21" s="9" t="n"/>
    </row>
    <row r="22">
      <c r="A22" s="5" t="inlineStr">
        <is>
          <t>BW &lt; 80,2 kg UND Performance runter  -&gt;  +100 bis +150 kcal (zuerst Carbs).</t>
        </is>
      </c>
    </row>
    <row r="23">
      <c r="A23" s="5" t="inlineStr">
        <is>
          <t>BW &gt; 82 kg schnell UND Taille schlechter  -&gt;  -100 bis -150 kcal.</t>
        </is>
      </c>
    </row>
    <row r="24">
      <c r="A24" s="5" t="inlineStr">
        <is>
          <t>Vor schweren Skill-Tagen (T1/T4): optionaler Mini-Refeed (Carbs +).</t>
        </is>
      </c>
    </row>
    <row r="25">
      <c r="A25" s="5" t="inlineStr">
        <is>
          <t>KEIN Defizit in diesem Block — Ziel ist Performance auf Maintenance.</t>
        </is>
      </c>
    </row>
  </sheetData>
  <mergeCells count="10">
    <mergeCell ref="C4:G4"/>
    <mergeCell ref="A1:G1"/>
    <mergeCell ref="C6:G6"/>
    <mergeCell ref="A21:G21"/>
    <mergeCell ref="A22:G22"/>
    <mergeCell ref="A12:G12"/>
    <mergeCell ref="A24:G24"/>
    <mergeCell ref="A3:C3"/>
    <mergeCell ref="A25:G25"/>
    <mergeCell ref="A23:G23"/>
  </mergeCells>
  <conditionalFormatting sqref="B4">
    <cfRule type="cellIs" priority="1" operator="notBetween" dxfId="5">
      <formula>80.5</formula>
      <formula>81.0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34" customWidth="1" min="3" max="3"/>
    <col width="30" customWidth="1" min="4" max="4"/>
    <col width="30" customWidth="1" min="5" max="5"/>
  </cols>
  <sheetData>
    <row r="1">
      <c r="A1" s="1" t="inlineStr">
        <is>
          <t>B6 — Rules (Autoregulation, Gates, Hinge-Rebuild, BWS-Protokoll, Referenzen)</t>
        </is>
      </c>
      <c r="B1" s="2" t="n"/>
      <c r="C1" s="2" t="n"/>
      <c r="D1" s="2" t="n"/>
      <c r="E1" s="2" t="n"/>
    </row>
    <row r="2"/>
    <row r="3">
      <c r="A3" s="8" t="inlineStr">
        <is>
          <t>Vier-Stufen-Gates (Basis: Pain 0-10, Quality 0-5, RPE)</t>
        </is>
      </c>
      <c r="B3" s="9" t="n"/>
      <c r="C3" s="9" t="n"/>
      <c r="D3" s="9" t="n"/>
      <c r="E3" s="9" t="n"/>
    </row>
    <row r="4">
      <c r="A4" s="11" t="inlineStr">
        <is>
          <t>Bereich</t>
        </is>
      </c>
      <c r="B4" s="11" t="inlineStr">
        <is>
          <t>GREEN</t>
        </is>
      </c>
      <c r="C4" s="11" t="inlineStr">
        <is>
          <t>YELLOW</t>
        </is>
      </c>
      <c r="D4" s="11" t="inlineStr">
        <is>
          <t>ORANGE</t>
        </is>
      </c>
      <c r="E4" s="11" t="inlineStr">
        <is>
          <t>RED</t>
        </is>
      </c>
    </row>
    <row r="5">
      <c r="A5" s="13" t="inlineStr">
        <is>
          <t>General</t>
        </is>
      </c>
      <c r="B5" s="29" t="inlineStr">
        <is>
          <t>Pain 0-2, Quality 4-5, RPE planmaessig -&gt; Last/Volumen leicht hoch</t>
        </is>
      </c>
      <c r="C5" s="30" t="inlineStr">
        <is>
          <t>Pain 3 ODER Quality 3 -&gt; Last halten, Technik priorisieren</t>
        </is>
      </c>
      <c r="D5" s="31" t="inlineStr">
        <is>
          <t>Pain 3 + Morgen schlechter -&gt; 1 Stufe regredieren, Volumen kuerzen</t>
        </is>
      </c>
      <c r="E5" s="32" t="inlineStr">
        <is>
          <t>Pain &gt;=4 / scharf / neurologisch -&gt; Uebung STOP, ggf. abklaeren</t>
        </is>
      </c>
    </row>
    <row r="6">
      <c r="A6" s="13" t="inlineStr">
        <is>
          <t>90 Push-up</t>
        </is>
      </c>
      <c r="B6" s="29" t="inlineStr">
        <is>
          <t>Rep 1 sauber, kein Schmerz -&gt; Cluster/Last steigern</t>
        </is>
      </c>
      <c r="C6" s="30" t="inlineStr">
        <is>
          <t>2. Rep Formverlust -&gt; bei Singles bleiben, Hebel/Kraftdach</t>
        </is>
      </c>
      <c r="D6" s="31" t="inlineStr">
        <is>
          <t>Schulter sperrt/Beschwerden -&gt; auf Negativ+Pause zurueck</t>
        </is>
      </c>
      <c r="E6" s="32" t="inlineStr">
        <is>
          <t>Schmerz Schulter/Ellbogen scharf -&gt; stoppen</t>
        </is>
      </c>
    </row>
    <row r="7">
      <c r="A7" s="13" t="inlineStr">
        <is>
          <t>OAHS / Flag</t>
        </is>
      </c>
      <c r="B7" s="29" t="inlineStr">
        <is>
          <t>saubere Holds, Return kontrolliert -&gt; Support reduzieren</t>
        </is>
      </c>
      <c r="C7" s="30" t="inlineStr">
        <is>
          <t>wackelig/rechts sperrt -&gt; Support halten, mehr Reps rechts</t>
        </is>
      </c>
      <c r="D7" s="31" t="inlineStr">
        <is>
          <t>Re-Entry unsauber -&gt; Support erhoehen, Geometrie ueben</t>
        </is>
      </c>
      <c r="E7" s="32" t="inlineStr">
        <is>
          <t>Schulter scharf / Kontrollverlust -&gt; stoppen</t>
        </is>
      </c>
    </row>
    <row r="8">
      <c r="A8" s="13" t="inlineStr">
        <is>
          <t>Back / Hinge</t>
        </is>
      </c>
      <c r="B8" s="29" t="inlineStr">
        <is>
          <t>Pain 0-1, Pattern sauber -&gt; Hinge-Level +1 (Rules-Leiter)</t>
        </is>
      </c>
      <c r="C8" s="30" t="inlineStr">
        <is>
          <t>Pain 2 -&gt; Level halten, Volumen niedrig</t>
        </is>
      </c>
      <c r="D8" s="31" t="inlineStr">
        <is>
          <t>Pain 3 ODER Morgen schlechter -&gt; Level -1, kein Hinge-Load</t>
        </is>
      </c>
      <c r="E8" s="32" t="inlineStr">
        <is>
          <t>Pain &gt;=4 / Ausstrahlen / Taubheit -&gt; STOP, abklaeren</t>
        </is>
      </c>
    </row>
    <row r="9"/>
    <row r="10">
      <c r="A10" s="8" t="inlineStr">
        <is>
          <t>Skill-Progressionsregeln</t>
        </is>
      </c>
      <c r="B10" s="9" t="n"/>
      <c r="C10" s="9" t="n"/>
      <c r="D10" s="9" t="n"/>
      <c r="E10" s="9" t="n"/>
    </row>
    <row r="11">
      <c r="A11" s="5" t="inlineStr">
        <is>
          <t>• Hoch nur bei GREEN ueber min. 2 Sessions: Last/Hold/Support eine Stufe.</t>
        </is>
      </c>
    </row>
    <row r="12">
      <c r="A12" s="5" t="inlineStr">
        <is>
          <t>• Runter sofort bei ORANGE/RED oder wenn naechster Morgen schlechter.</t>
        </is>
      </c>
    </row>
    <row r="13">
      <c r="A13" s="5" t="inlineStr">
        <is>
          <t>• 90: Weg zu 3 Reps = Kraftdach anheben (Rep 1 submax) + Cluster-Strength-Endurance + sauberer Hebel. Nie Failure default.</t>
        </is>
      </c>
    </row>
    <row r="14">
      <c r="A14" s="5" t="inlineStr">
        <is>
          <t>• OAHS Flag-Pfad: supported Pre-Flag -&gt; Sideline-Hold -&gt; reduzierter Support -&gt; seltene freie Versuche. Support nur senken wenn Re-Entry sauber.</t>
        </is>
      </c>
    </row>
    <row r="15">
      <c r="A15" s="5" t="inlineStr">
        <is>
          <t>• Schwaechere (rechte) Seite leicht bevorzugen: mehr Reps/Holds, Overhead-/BWS-Mobility.</t>
        </is>
      </c>
    </row>
    <row r="16">
      <c r="A16" s="5" t="inlineStr">
        <is>
          <t>• Skill immer zuerst und frisch; bei Qualitaetsverlust ZUERST Push-Akzessorik kuerzen, nicht den Skill.</t>
        </is>
      </c>
    </row>
    <row r="17"/>
    <row r="18">
      <c r="A18" s="8" t="inlineStr">
        <is>
          <t>Hinge-Rebuild-Leiter (Level 0-3) — KEIN schwerer / Barbell-Hinge in diesem Block</t>
        </is>
      </c>
      <c r="B18" s="9" t="n"/>
      <c r="C18" s="9" t="n"/>
      <c r="D18" s="9" t="n"/>
      <c r="E18" s="9" t="n"/>
    </row>
    <row r="19">
      <c r="A19" s="11" t="inlineStr">
        <is>
          <t>Level</t>
        </is>
      </c>
      <c r="B19" s="11" t="inlineStr">
        <is>
          <t>Allowed when</t>
        </is>
      </c>
      <c r="C19" s="11" t="inlineStr">
        <is>
          <t>Exercises</t>
        </is>
      </c>
      <c r="D19" s="11" t="inlineStr">
        <is>
          <t>Prescription</t>
        </is>
      </c>
      <c r="E19" s="11" t="inlineStr">
        <is>
          <t>Move up when</t>
        </is>
      </c>
    </row>
    <row r="20">
      <c r="A20" s="17" t="inlineStr">
        <is>
          <t>0</t>
        </is>
      </c>
      <c r="B20" s="5" t="inlineStr">
        <is>
          <t>Pain bei Dowel-Hinge 0-1, ADL schmerzfrei</t>
        </is>
      </c>
      <c r="C20" s="5" t="inlineStr">
        <is>
          <t>Dowel Hip-Hinge, Hip-Airplane leicht, Back-Ext Iso (kurz)</t>
        </is>
      </c>
      <c r="D20" s="5" t="inlineStr">
        <is>
          <t>2-3x5-8 Pattern, Iso 2-3x10-20s, taeglich moeglich</t>
        </is>
      </c>
      <c r="E20" s="5" t="inlineStr">
        <is>
          <t>2 Sessions GREEN, Morgen ok</t>
        </is>
      </c>
    </row>
    <row r="21">
      <c r="A21" s="17" t="inlineStr">
        <is>
          <t>1</t>
        </is>
      </c>
      <c r="B21" s="5" t="inlineStr">
        <is>
          <t>Level 0 GREEN stabil</t>
        </is>
      </c>
      <c r="C21" s="5" t="inlineStr">
        <is>
          <t>Hip-Thrust leicht, 45° Back-Ext (BW), Bird-Dog</t>
        </is>
      </c>
      <c r="D21" s="5" t="inlineStr">
        <is>
          <t>2-3x8-12, RPE&lt;=6, schmerzfrei</t>
        </is>
      </c>
      <c r="E21" s="5" t="inlineStr">
        <is>
          <t>2 Sessions GREEN, kein Naechst-Morgen-Reiz</t>
        </is>
      </c>
    </row>
    <row r="22">
      <c r="A22" s="17" t="inlineStr">
        <is>
          <t>2</t>
        </is>
      </c>
      <c r="B22" s="5" t="inlineStr">
        <is>
          <t>Level 1 GREEN</t>
        </is>
      </c>
      <c r="C22" s="5" t="inlineStr">
        <is>
          <t>Hip-Thrust moderat, KB Deadlift LEICHT (Pattern), Ham Curl betont</t>
        </is>
      </c>
      <c r="D22" s="5" t="inlineStr">
        <is>
          <t>3x8-10, RPE 6-7</t>
        </is>
      </c>
      <c r="E22" s="5" t="inlineStr">
        <is>
          <t>2 Sessions GREEN</t>
        </is>
      </c>
    </row>
    <row r="23">
      <c r="A23" s="17" t="inlineStr">
        <is>
          <t>3</t>
        </is>
      </c>
      <c r="B23" s="5" t="inlineStr">
        <is>
          <t>Level 2 GREEN (Ende Block / B7)</t>
        </is>
      </c>
      <c r="C23" s="5" t="inlineStr">
        <is>
          <t>Trap-Bar / RDL LEICHT-moderat (erst naechster Block)</t>
        </is>
      </c>
      <c r="D23" s="5" t="inlineStr">
        <is>
          <t>2-3x6-8, RPE&lt;=7 — NICHT in B6</t>
        </is>
      </c>
      <c r="E23" s="5" t="inlineStr">
        <is>
          <t>Naechster Block, schmerzfrei</t>
        </is>
      </c>
    </row>
    <row r="24">
      <c r="A24" s="33" t="inlineStr">
        <is>
          <t>WICHTIG: In B6 maximal Level 2. Kein schwerer Barbell-Hinge, keine Max-Grinds als Default. Posteriore Kette ueber Ham-Curl, Back-Ext-Iso, optional Hip-Thrust (nur schmerzfrei).</t>
        </is>
      </c>
    </row>
    <row r="25"/>
    <row r="26">
      <c r="A26" s="8" t="inlineStr">
        <is>
          <t>BWS-Mobility-Protokoll (Einklemm-Thema, KEINE Diagnose — nur Training/Mobility)</t>
        </is>
      </c>
      <c r="B26" s="9" t="n"/>
      <c r="C26" s="9" t="n"/>
      <c r="D26" s="9" t="n"/>
      <c r="E26" s="9" t="n"/>
    </row>
    <row r="27">
      <c r="A27" s="5" t="inlineStr">
        <is>
          <t>• Extension: Foam-Roller BWS-Extension 2x8-10; Quadruped T-Spine Extension.</t>
        </is>
      </c>
    </row>
    <row r="28">
      <c r="A28" s="5" t="inlineStr">
        <is>
          <t>• Rotation: Open-Book / Quadruped Rotation 2x6-8/Seite, langsam.</t>
        </is>
      </c>
    </row>
    <row r="29">
      <c r="A29" s="5" t="inlineStr">
        <is>
          <t>• Rib-Position: 'ribs down', Bauch-Atmung im 90/90, 3-4 Atemzuege; kein Flaring unter Overhead-Last.</t>
        </is>
      </c>
    </row>
    <row r="30">
      <c r="A30" s="5" t="inlineStr">
        <is>
          <t>• Atmung/Downshift: 5 min nasale Ausatem-betonte Atmung am Sessionende (Parasympathikus).</t>
        </is>
      </c>
    </row>
    <row r="31">
      <c r="A31" s="5" t="inlineStr">
        <is>
          <t>• Platzierung: voll an T3 &amp; T5, Kurzversion im taeglichen Warm-up. Monitoren via Pain-Spalte im Log.</t>
        </is>
      </c>
    </row>
    <row r="32"/>
    <row r="33">
      <c r="A33" s="8" t="inlineStr">
        <is>
          <t>Referenzen (Quelle | URL | wofuer)</t>
        </is>
      </c>
      <c r="B33" s="9" t="n"/>
      <c r="C33" s="9" t="n"/>
      <c r="D33" s="9" t="n"/>
      <c r="E33" s="9" t="n"/>
    </row>
    <row r="34">
      <c r="A34" s="11" t="inlineStr">
        <is>
          <t>Quelle</t>
        </is>
      </c>
      <c r="B34" s="11" t="inlineStr">
        <is>
          <t>URL</t>
        </is>
      </c>
      <c r="C34" s="11" t="inlineStr">
        <is>
          <t>Wofuer</t>
        </is>
      </c>
      <c r="D34" s="11" t="inlineStr"/>
      <c r="E34" s="11" t="inlineStr"/>
    </row>
    <row r="35">
      <c r="A35" s="5" t="inlineStr">
        <is>
          <t>Schoenfeld u.a. (PMC8884877)</t>
        </is>
      </c>
      <c r="B35" s="34" t="inlineStr">
        <is>
          <t>https://pmc.ncbi.nlm.nih.gov/articles/PMC8884877/</t>
        </is>
      </c>
      <c r="C35" s="5" t="inlineStr">
        <is>
          <t>Hypertrophie-Volumen ~12-20 Saetze/Muskel (individuell)</t>
        </is>
      </c>
      <c r="D35" s="6" t="n"/>
      <c r="E35" s="7" t="n"/>
    </row>
    <row r="36">
      <c r="A36" s="5" t="inlineStr">
        <is>
          <t>Load/Reps Kraft vs. Hypertrophie (PMC7927075)</t>
        </is>
      </c>
      <c r="B36" s="34" t="inlineStr">
        <is>
          <t>https://pmc.ncbi.nlm.nih.gov/articles/PMC7927075/</t>
        </is>
      </c>
      <c r="C36" s="5" t="inlineStr">
        <is>
          <t>Last-/Rep-Bereiche Kraft vs. Hypertrophie</t>
        </is>
      </c>
      <c r="D36" s="6" t="n"/>
      <c r="E36" s="7" t="n"/>
    </row>
    <row r="37">
      <c r="A37" s="5" t="inlineStr">
        <is>
          <t>Handstand Factory</t>
        </is>
      </c>
      <c r="B37" s="34" t="inlineStr">
        <is>
          <t>https://handstandfactory.com/one-arm-shapes/</t>
        </is>
      </c>
      <c r="C37" s="5" t="inlineStr">
        <is>
          <t>OAHS One-Arm-Shapes (Prereqs, fortgeschritten)</t>
        </is>
      </c>
      <c r="D37" s="6" t="n"/>
      <c r="E37" s="7" t="n"/>
    </row>
    <row r="38">
      <c r="A38" s="5" t="inlineStr">
        <is>
          <t>Berg Movement</t>
        </is>
      </c>
      <c r="B38" s="34" t="inlineStr">
        <is>
          <t>https://www.bergmovement.com/calisthenics-blog/one-arm-handstand-drills-and-progressions-beginner</t>
        </is>
      </c>
      <c r="C38" s="5" t="inlineStr">
        <is>
          <t>OAHS Drills/Progressionen</t>
        </is>
      </c>
      <c r="D38" s="6" t="n"/>
      <c r="E38" s="7" t="n"/>
    </row>
    <row r="39">
      <c r="A39" s="5" t="inlineStr">
        <is>
          <t>Berg Movement</t>
        </is>
      </c>
      <c r="B39" s="34" t="inlineStr">
        <is>
          <t>https://www.bergmovement.com/calisthenics-blog/90-degree-push-up-tutorial</t>
        </is>
      </c>
      <c r="C39" s="5" t="inlineStr">
        <is>
          <t>90 Push-up Tutorial/Definition</t>
        </is>
      </c>
      <c r="D39" s="6" t="n"/>
      <c r="E39" s="7" t="n"/>
    </row>
    <row r="40">
      <c r="A40" s="5" t="inlineStr">
        <is>
          <t>YouTube</t>
        </is>
      </c>
      <c r="B40" s="34" t="inlineStr">
        <is>
          <t>https://www.youtube.com/watch?v=hLKoKIAp6Eg</t>
        </is>
      </c>
      <c r="C40" s="5" t="inlineStr">
        <is>
          <t>90 Progressionen (Negativ/Band/Momentum)</t>
        </is>
      </c>
      <c r="D40" s="6" t="n"/>
      <c r="E40" s="7" t="n"/>
    </row>
    <row r="41">
      <c r="A41" s="5" t="inlineStr">
        <is>
          <t>The Barbell Physio</t>
        </is>
      </c>
      <c r="B41" s="34" t="inlineStr">
        <is>
          <t>https://thebarbellphysio.com/returning-to-deadlifts-after-back-pain/</t>
        </is>
      </c>
      <c r="C41" s="5" t="inlineStr">
        <is>
          <t>Return-to-Deadlift nach Rueckenschmerz (Hinge zuerst)</t>
        </is>
      </c>
      <c r="D41" s="6" t="n"/>
      <c r="E41" s="7" t="n"/>
    </row>
  </sheetData>
  <mergeCells count="25">
    <mergeCell ref="A30:E30"/>
    <mergeCell ref="C41:E41"/>
    <mergeCell ref="A24:E24"/>
    <mergeCell ref="A15:E15"/>
    <mergeCell ref="C40:E40"/>
    <mergeCell ref="A11:E11"/>
    <mergeCell ref="A1:E1"/>
    <mergeCell ref="C36:E36"/>
    <mergeCell ref="A16:E16"/>
    <mergeCell ref="C39:E39"/>
    <mergeCell ref="A18:E18"/>
    <mergeCell ref="A27:E27"/>
    <mergeCell ref="A3:E3"/>
    <mergeCell ref="C38:E38"/>
    <mergeCell ref="A12:E12"/>
    <mergeCell ref="A26:E26"/>
    <mergeCell ref="C37:E37"/>
    <mergeCell ref="A33:E33"/>
    <mergeCell ref="A14:E14"/>
    <mergeCell ref="A29:E29"/>
    <mergeCell ref="A10:E10"/>
    <mergeCell ref="A28:E28"/>
    <mergeCell ref="A13:E13"/>
    <mergeCell ref="C35:E35"/>
    <mergeCell ref="A31:E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</cols>
  <sheetData>
    <row r="1">
      <c r="A1" s="1" t="inlineStr">
        <is>
          <t>B6 — Weekly Summary (automatisch aus B6_Training_Log)</t>
        </is>
      </c>
      <c r="B1" s="2" t="n"/>
      <c r="C1" s="2" t="n"/>
      <c r="D1" s="2" t="n"/>
      <c r="E1" s="2" t="n"/>
      <c r="F1" s="2" t="n"/>
    </row>
    <row r="2">
      <c r="A2" s="35" t="inlineStr">
        <is>
          <t>Alle Werte per Formel ueber strukturierte Referenzen. Angehaengte Log-Zeilen fliessen automatisch ein.</t>
        </is>
      </c>
    </row>
    <row r="3">
      <c r="A3" s="11" t="inlineStr">
        <is>
          <t>Metrik</t>
        </is>
      </c>
      <c r="B3" s="11" t="inlineStr">
        <is>
          <t>W1</t>
        </is>
      </c>
      <c r="C3" s="11" t="inlineStr">
        <is>
          <t>W2</t>
        </is>
      </c>
      <c r="D3" s="11" t="inlineStr">
        <is>
          <t>W3</t>
        </is>
      </c>
      <c r="E3" s="11" t="inlineStr">
        <is>
          <t>W4</t>
        </is>
      </c>
      <c r="F3" s="11" t="inlineStr">
        <is>
          <t>Block gesamt</t>
        </is>
      </c>
    </row>
    <row r="4">
      <c r="A4" s="13" t="inlineStr">
        <is>
          <t>Push — effektive Saetze (90/Planche/Push)</t>
        </is>
      </c>
      <c r="B4" s="15">
        <f>SUMIFS(tblLog[Sets],tblLog[Category],"Skill90",tblLog[Week],1)+SUMIFS(tblLog[Sets],tblLog[Category],"Planche",tblLog[Week],1)+SUMIFS(tblLog[Sets],tblLog[Category],"Push",tblLog[Week],1)</f>
        <v/>
      </c>
      <c r="C4" s="15">
        <f>SUMIFS(tblLog[Sets],tblLog[Category],"Skill90",tblLog[Week],2)+SUMIFS(tblLog[Sets],tblLog[Category],"Planche",tblLog[Week],2)+SUMIFS(tblLog[Sets],tblLog[Category],"Push",tblLog[Week],2)</f>
        <v/>
      </c>
      <c r="D4" s="15">
        <f>SUMIFS(tblLog[Sets],tblLog[Category],"Skill90",tblLog[Week],3)+SUMIFS(tblLog[Sets],tblLog[Category],"Planche",tblLog[Week],3)+SUMIFS(tblLog[Sets],tblLog[Category],"Push",tblLog[Week],3)</f>
        <v/>
      </c>
      <c r="E4" s="15">
        <f>SUMIFS(tblLog[Sets],tblLog[Category],"Skill90",tblLog[Week],4)+SUMIFS(tblLog[Sets],tblLog[Category],"Planche",tblLog[Week],4)+SUMIFS(tblLog[Sets],tblLog[Category],"Push",tblLog[Week],4)</f>
        <v/>
      </c>
      <c r="F4" s="36">
        <f>SUMIFS(tblLog[Sets],tblLog[Category],"Skill90")+SUMIFS(tblLog[Sets],tblLog[Category],"Planche")+SUMIFS(tblLog[Sets],tblLog[Category],"Push")</f>
        <v/>
      </c>
    </row>
    <row r="5">
      <c r="A5" s="13" t="inlineStr">
        <is>
          <t>Pull — effektive Saetze</t>
        </is>
      </c>
      <c r="B5" s="15">
        <f>SUMIFS(tblLog[Sets],tblLog[Category],"Pull",tblLog[Week],1)</f>
        <v/>
      </c>
      <c r="C5" s="15">
        <f>SUMIFS(tblLog[Sets],tblLog[Category],"Pull",tblLog[Week],2)</f>
        <v/>
      </c>
      <c r="D5" s="15">
        <f>SUMIFS(tblLog[Sets],tblLog[Category],"Pull",tblLog[Week],3)</f>
        <v/>
      </c>
      <c r="E5" s="15">
        <f>SUMIFS(tblLog[Sets],tblLog[Category],"Pull",tblLog[Week],4)</f>
        <v/>
      </c>
      <c r="F5" s="36">
        <f>SUMIFS(tblLog[Sets],tblLog[Category],"Pull")</f>
        <v/>
      </c>
    </row>
    <row r="6">
      <c r="A6" s="13" t="inlineStr">
        <is>
          <t>Legs — effektive Saetze</t>
        </is>
      </c>
      <c r="B6" s="15">
        <f>SUMIFS(tblLog[Sets],tblLog[Category],"Legs",tblLog[Week],1)</f>
        <v/>
      </c>
      <c r="C6" s="15">
        <f>SUMIFS(tblLog[Sets],tblLog[Category],"Legs",tblLog[Week],2)</f>
        <v/>
      </c>
      <c r="D6" s="15">
        <f>SUMIFS(tblLog[Sets],tblLog[Category],"Legs",tblLog[Week],3)</f>
        <v/>
      </c>
      <c r="E6" s="15">
        <f>SUMIFS(tblLog[Sets],tblLog[Category],"Legs",tblLog[Week],4)</f>
        <v/>
      </c>
      <c r="F6" s="36">
        <f>SUMIFS(tblLog[Sets],tblLog[Category],"Legs")</f>
        <v/>
      </c>
    </row>
    <row r="7">
      <c r="A7" s="13" t="inlineStr">
        <is>
          <t>90 — Touches (Eintraege)</t>
        </is>
      </c>
      <c r="B7" s="14">
        <f>COUNTIFS(tblLog[ExerciseID],"90",tblLog[Week],1)</f>
        <v/>
      </c>
      <c r="C7" s="14">
        <f>COUNTIFS(tblLog[ExerciseID],"90",tblLog[Week],2)</f>
        <v/>
      </c>
      <c r="D7" s="14">
        <f>COUNTIFS(tblLog[ExerciseID],"90",tblLog[Week],3)</f>
        <v/>
      </c>
      <c r="E7" s="14">
        <f>COUNTIFS(tblLog[ExerciseID],"90",tblLog[Week],4)</f>
        <v/>
      </c>
      <c r="F7" s="37">
        <f>COUNTIFS(tblLog[ExerciseID],"90")</f>
        <v/>
      </c>
    </row>
    <row r="8">
      <c r="A8" s="13" t="inlineStr">
        <is>
          <t>90 — saubere Reps gesamt</t>
        </is>
      </c>
      <c r="B8" s="14">
        <f>SUMIFS(tblLog[CleanReps],tblLog[ExerciseID],"90",tblLog[Week],1)</f>
        <v/>
      </c>
      <c r="C8" s="14">
        <f>SUMIFS(tblLog[CleanReps],tblLog[ExerciseID],"90",tblLog[Week],2)</f>
        <v/>
      </c>
      <c r="D8" s="14">
        <f>SUMIFS(tblLog[CleanReps],tblLog[ExerciseID],"90",tblLog[Week],3)</f>
        <v/>
      </c>
      <c r="E8" s="14">
        <f>SUMIFS(tblLog[CleanReps],tblLog[ExerciseID],"90",tblLog[Week],4)</f>
        <v/>
      </c>
      <c r="F8" s="37">
        <f>SUMIFS(tblLog[CleanReps],tblLog[ExerciseID],"90")</f>
        <v/>
      </c>
    </row>
    <row r="9">
      <c r="A9" s="13" t="inlineStr">
        <is>
          <t>OAHS — Skill-Bloecke (Eintraege)</t>
        </is>
      </c>
      <c r="B9" s="14">
        <f>COUNTIFS(tblLog[Category],"SkillOAHS",tblLog[Week],1)</f>
        <v/>
      </c>
      <c r="C9" s="14">
        <f>COUNTIFS(tblLog[Category],"SkillOAHS",tblLog[Week],2)</f>
        <v/>
      </c>
      <c r="D9" s="14">
        <f>COUNTIFS(tblLog[Category],"SkillOAHS",tblLog[Week],3)</f>
        <v/>
      </c>
      <c r="E9" s="14">
        <f>COUNTIFS(tblLog[Category],"SkillOAHS",tblLog[Week],4)</f>
        <v/>
      </c>
      <c r="F9" s="37">
        <f>COUNTIFS(tblLog[Category],"SkillOAHS")</f>
        <v/>
      </c>
    </row>
    <row r="10">
      <c r="A10" s="13" t="inlineStr">
        <is>
          <t>Planche — Dosen (Eintraege)</t>
        </is>
      </c>
      <c r="B10" s="14">
        <f>COUNTIFS(tblLog[Category],"Planche",tblLog[Week],1)</f>
        <v/>
      </c>
      <c r="C10" s="14">
        <f>COUNTIFS(tblLog[Category],"Planche",tblLog[Week],2)</f>
        <v/>
      </c>
      <c r="D10" s="14">
        <f>COUNTIFS(tblLog[Category],"Planche",tblLog[Week],3)</f>
        <v/>
      </c>
      <c r="E10" s="14">
        <f>COUNTIFS(tblLog[Category],"Planche",tblLog[Week],4)</f>
        <v/>
      </c>
      <c r="F10" s="37">
        <f>COUNTIFS(tblLog[Category],"Planche")</f>
        <v/>
      </c>
    </row>
    <row r="11">
      <c r="A11" s="13" t="inlineStr">
        <is>
          <t>OAHS Best-Hold links (s)</t>
        </is>
      </c>
      <c r="B11" s="14">
        <f>MAXIFS(tblLog[BestHold_s],tblLog[Category],"SkillOAHS",tblLog[Side],"L",tblLog[Week],1)</f>
        <v/>
      </c>
      <c r="C11" s="14">
        <f>MAXIFS(tblLog[BestHold_s],tblLog[Category],"SkillOAHS",tblLog[Side],"L",tblLog[Week],2)</f>
        <v/>
      </c>
      <c r="D11" s="14">
        <f>MAXIFS(tblLog[BestHold_s],tblLog[Category],"SkillOAHS",tblLog[Side],"L",tblLog[Week],3)</f>
        <v/>
      </c>
      <c r="E11" s="14">
        <f>MAXIFS(tblLog[BestHold_s],tblLog[Category],"SkillOAHS",tblLog[Side],"L",tblLog[Week],4)</f>
        <v/>
      </c>
      <c r="F11" s="37">
        <f>MAXIFS(tblLog[BestHold_s],tblLog[Category],"SkillOAHS",tblLog[Side],"L")</f>
        <v/>
      </c>
    </row>
    <row r="12">
      <c r="A12" s="13" t="inlineStr">
        <is>
          <t>OAHS Best-Hold rechts (s)</t>
        </is>
      </c>
      <c r="B12" s="14">
        <f>MAXIFS(tblLog[BestHold_s],tblLog[Category],"SkillOAHS",tblLog[Side],"R",tblLog[Week],1)</f>
        <v/>
      </c>
      <c r="C12" s="14">
        <f>MAXIFS(tblLog[BestHold_s],tblLog[Category],"SkillOAHS",tblLog[Side],"R",tblLog[Week],2)</f>
        <v/>
      </c>
      <c r="D12" s="14">
        <f>MAXIFS(tblLog[BestHold_s],tblLog[Category],"SkillOAHS",tblLog[Side],"R",tblLog[Week],3)</f>
        <v/>
      </c>
      <c r="E12" s="14">
        <f>MAXIFS(tblLog[BestHold_s],tblLog[Category],"SkillOAHS",tblLog[Side],"R",tblLog[Week],4)</f>
        <v/>
      </c>
      <c r="F12" s="37">
        <f>MAXIFS(tblLog[BestHold_s],tblLog[Category],"SkillOAHS",tblLog[Side],"R")</f>
        <v/>
      </c>
    </row>
    <row r="13">
      <c r="A13" s="13" t="inlineStr">
        <is>
          <t>Flag Best-Hold links (s)</t>
        </is>
      </c>
      <c r="B13" s="14">
        <f>MAXIFS(tblLog[BestHold_s],tblLog[Category],"SkillFlag",tblLog[Side],"L",tblLog[Week],1)</f>
        <v/>
      </c>
      <c r="C13" s="14">
        <f>MAXIFS(tblLog[BestHold_s],tblLog[Category],"SkillFlag",tblLog[Side],"L",tblLog[Week],2)</f>
        <v/>
      </c>
      <c r="D13" s="14">
        <f>MAXIFS(tblLog[BestHold_s],tblLog[Category],"SkillFlag",tblLog[Side],"L",tblLog[Week],3)</f>
        <v/>
      </c>
      <c r="E13" s="14">
        <f>MAXIFS(tblLog[BestHold_s],tblLog[Category],"SkillFlag",tblLog[Side],"L",tblLog[Week],4)</f>
        <v/>
      </c>
      <c r="F13" s="37">
        <f>MAXIFS(tblLog[BestHold_s],tblLog[Category],"SkillFlag",tblLog[Side],"L")</f>
        <v/>
      </c>
    </row>
    <row r="14">
      <c r="A14" s="13" t="inlineStr">
        <is>
          <t>Flag Best-Hold rechts (s)</t>
        </is>
      </c>
      <c r="B14" s="14">
        <f>MAXIFS(tblLog[BestHold_s],tblLog[Category],"SkillFlag",tblLog[Side],"R",tblLog[Week],1)</f>
        <v/>
      </c>
      <c r="C14" s="14">
        <f>MAXIFS(tblLog[BestHold_s],tblLog[Category],"SkillFlag",tblLog[Side],"R",tblLog[Week],2)</f>
        <v/>
      </c>
      <c r="D14" s="14">
        <f>MAXIFS(tblLog[BestHold_s],tblLog[Category],"SkillFlag",tblLog[Side],"R",tblLog[Week],3)</f>
        <v/>
      </c>
      <c r="E14" s="14">
        <f>MAXIFS(tblLog[BestHold_s],tblLog[Category],"SkillFlag",tblLog[Side],"R",tblLog[Week],4)</f>
        <v/>
      </c>
      <c r="F14" s="37">
        <f>MAXIFS(tblLog[BestHold_s],tblLog[Category],"SkillFlag",tblLog[Side],"R")</f>
        <v/>
      </c>
    </row>
    <row r="15">
      <c r="A15" s="13" t="inlineStr">
        <is>
          <t>Core — Saetze</t>
        </is>
      </c>
      <c r="B15" s="15">
        <f>SUMIFS(tblLog[Sets],tblLog[Category],"Core",tblLog[Week],1)</f>
        <v/>
      </c>
      <c r="C15" s="15">
        <f>SUMIFS(tblLog[Sets],tblLog[Category],"Core",tblLog[Week],2)</f>
        <v/>
      </c>
      <c r="D15" s="15">
        <f>SUMIFS(tblLog[Sets],tblLog[Category],"Core",tblLog[Week],3)</f>
        <v/>
      </c>
      <c r="E15" s="15">
        <f>SUMIFS(tblLog[Sets],tblLog[Category],"Core",tblLog[Week],4)</f>
        <v/>
      </c>
      <c r="F15" s="36">
        <f>SUMIFS(tblLog[Sets],tblLog[Category],"Core")</f>
        <v/>
      </c>
    </row>
    <row r="16">
      <c r="A16" s="13" t="inlineStr">
        <is>
          <t>Ø TopRPE</t>
        </is>
      </c>
      <c r="B16" s="15">
        <f>IFERROR(AVERAGEIFS(tblLog[TopRPE],tblLog[Week],1),0)</f>
        <v/>
      </c>
      <c r="C16" s="15">
        <f>IFERROR(AVERAGEIFS(tblLog[TopRPE],tblLog[Week],2),0)</f>
        <v/>
      </c>
      <c r="D16" s="15">
        <f>IFERROR(AVERAGEIFS(tblLog[TopRPE],tblLog[Week],3),0)</f>
        <v/>
      </c>
      <c r="E16" s="15">
        <f>IFERROR(AVERAGEIFS(tblLog[TopRPE],tblLog[Week],4),0)</f>
        <v/>
      </c>
      <c r="F16" s="36">
        <f>IFERROR(AVERAGE(tblLog[TopRPE]),0)</f>
        <v/>
      </c>
    </row>
    <row r="17">
      <c r="A17" s="13" t="inlineStr">
        <is>
          <t>Ø Pain</t>
        </is>
      </c>
      <c r="B17" s="15">
        <f>IFERROR(AVERAGEIFS(tblLog[Pain_0_10],tblLog[Week],1),0)</f>
        <v/>
      </c>
      <c r="C17" s="15">
        <f>IFERROR(AVERAGEIFS(tblLog[Pain_0_10],tblLog[Week],2),0)</f>
        <v/>
      </c>
      <c r="D17" s="15">
        <f>IFERROR(AVERAGEIFS(tblLog[Pain_0_10],tblLog[Week],3),0)</f>
        <v/>
      </c>
      <c r="E17" s="15">
        <f>IFERROR(AVERAGEIFS(tblLog[Pain_0_10],tblLog[Week],4),0)</f>
        <v/>
      </c>
      <c r="F17" s="36">
        <f>IFERROR(AVERAGE(tblLog[Pain_0_10]),0)</f>
        <v/>
      </c>
    </row>
    <row r="18">
      <c r="A18" s="13" t="inlineStr">
        <is>
          <t>Pain-Flags ≥4</t>
        </is>
      </c>
      <c r="B18" s="14">
        <f>COUNTIFS(tblLog[Pain_0_10],"&gt;=4",tblLog[Week],1)</f>
        <v/>
      </c>
      <c r="C18" s="14">
        <f>COUNTIFS(tblLog[Pain_0_10],"&gt;=4",tblLog[Week],2)</f>
        <v/>
      </c>
      <c r="D18" s="14">
        <f>COUNTIFS(tblLog[Pain_0_10],"&gt;=4",tblLog[Week],3)</f>
        <v/>
      </c>
      <c r="E18" s="14">
        <f>COUNTIFS(tblLog[Pain_0_10],"&gt;=4",tblLog[Week],4)</f>
        <v/>
      </c>
      <c r="F18" s="37">
        <f>COUNTIF(tblLog[Pain_0_10],"&gt;=4")</f>
        <v/>
      </c>
    </row>
    <row r="19">
      <c r="A19" s="13" t="inlineStr">
        <is>
          <t>Geloggte Zeilen</t>
        </is>
      </c>
      <c r="B19" s="14">
        <f>COUNTIFS(tblLog[Week],1)</f>
        <v/>
      </c>
      <c r="C19" s="14">
        <f>COUNTIFS(tblLog[Week],2)</f>
        <v/>
      </c>
      <c r="D19" s="14">
        <f>COUNTIFS(tblLog[Week],3)</f>
        <v/>
      </c>
      <c r="E19" s="14">
        <f>COUNTIFS(tblLog[Week],4)</f>
        <v/>
      </c>
      <c r="F19" s="37">
        <f>COUNTA(tblLog[Date])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40" customWidth="1" min="3" max="3"/>
    <col width="40" customWidth="1" min="4" max="4"/>
  </cols>
  <sheetData>
    <row r="1">
      <c r="A1" s="1" t="inlineStr">
        <is>
          <t>Log_Guide — Bedien- &amp; Voice-Anleitung</t>
        </is>
      </c>
      <c r="B1" s="2" t="n"/>
      <c r="C1" s="2" t="n"/>
      <c r="D1" s="2" t="n"/>
    </row>
    <row r="2"/>
    <row r="3">
      <c r="A3" s="8" t="inlineStr">
        <is>
          <t>Schema B6_Training_Log (genaue Reihenfolge)</t>
        </is>
      </c>
      <c r="B3" s="9" t="n"/>
      <c r="C3" s="9" t="n"/>
      <c r="D3" s="9" t="n"/>
    </row>
    <row r="4">
      <c r="A4" s="11" t="inlineStr">
        <is>
          <t>Spalte</t>
        </is>
      </c>
      <c r="B4" s="11" t="inlineStr">
        <is>
          <t>Typ / Validierung</t>
        </is>
      </c>
      <c r="C4" s="11" t="inlineStr">
        <is>
          <t>Bedeutung</t>
        </is>
      </c>
      <c r="D4" s="7" t="n"/>
    </row>
    <row r="5">
      <c r="A5" s="13" t="inlineStr">
        <is>
          <t>Date</t>
        </is>
      </c>
      <c r="B5" s="5" t="inlineStr">
        <is>
          <t>echtes Datum</t>
        </is>
      </c>
      <c r="C5" s="5" t="inlineStr">
        <is>
          <t>Trainingstag ('heute' = aktuelles Datum)</t>
        </is>
      </c>
      <c r="D5" s="7" t="n"/>
    </row>
    <row r="6">
      <c r="A6" s="13" t="inlineStr">
        <is>
          <t>DayType</t>
        </is>
      </c>
      <c r="B6" s="5" t="inlineStr">
        <is>
          <t>Dropdown T1-T5, Rest</t>
        </is>
      </c>
      <c r="C6" s="5" t="inlineStr">
        <is>
          <t>Session-Typ</t>
        </is>
      </c>
      <c r="D6" s="7" t="n"/>
    </row>
    <row r="7">
      <c r="A7" s="13" t="inlineStr">
        <is>
          <t>Week</t>
        </is>
      </c>
      <c r="B7" s="5" t="inlineStr">
        <is>
          <t>1-4</t>
        </is>
      </c>
      <c r="C7" s="5" t="inlineStr">
        <is>
          <t>Mesozyklus-Woche</t>
        </is>
      </c>
      <c r="D7" s="7" t="n"/>
    </row>
    <row r="8">
      <c r="A8" s="13" t="inlineStr">
        <is>
          <t>ExerciseID</t>
        </is>
      </c>
      <c r="B8" s="5" t="inlineStr">
        <is>
          <t>Dropdown aus Library</t>
        </is>
      </c>
      <c r="C8" s="5" t="inlineStr">
        <is>
          <t>Uebung/Skill</t>
        </is>
      </c>
      <c r="D8" s="7" t="n"/>
    </row>
    <row r="9">
      <c r="A9" s="13" t="inlineStr">
        <is>
          <t>Category</t>
        </is>
      </c>
      <c r="B9" s="5" t="inlineStr">
        <is>
          <t>FORMEL (XLOOKUP)</t>
        </is>
      </c>
      <c r="C9" s="5" t="inlineStr">
        <is>
          <t>Auto-Kategorie — NICHT manuell</t>
        </is>
      </c>
      <c r="D9" s="7" t="n"/>
    </row>
    <row r="10">
      <c r="A10" s="13" t="inlineStr">
        <is>
          <t>Side</t>
        </is>
      </c>
      <c r="B10" s="5" t="inlineStr">
        <is>
          <t>Dropdown L,R,NA</t>
        </is>
      </c>
      <c r="C10" s="5" t="inlineStr">
        <is>
          <t>Seite (OAHS/unilateral), sonst NA</t>
        </is>
      </c>
      <c r="D10" s="7" t="n"/>
    </row>
    <row r="11">
      <c r="A11" s="13" t="inlineStr">
        <is>
          <t>Sets</t>
        </is>
      </c>
      <c r="B11" s="5" t="inlineStr">
        <is>
          <t>Zahl</t>
        </is>
      </c>
      <c r="C11" s="5" t="inlineStr">
        <is>
          <t>Anzahl Saetze/Bloecke</t>
        </is>
      </c>
      <c r="D11" s="7" t="n"/>
    </row>
    <row r="12">
      <c r="A12" s="13" t="inlineStr">
        <is>
          <t>Reps_or_Scheme</t>
        </is>
      </c>
      <c r="B12" s="5" t="inlineStr">
        <is>
          <t>Text</t>
        </is>
      </c>
      <c r="C12" s="5" t="inlineStr">
        <is>
          <t>z.B. 8 oder 5/3/1 oder Holds-Anzahl</t>
        </is>
      </c>
      <c r="D12" s="7" t="n"/>
    </row>
    <row r="13">
      <c r="A13" s="13" t="inlineStr">
        <is>
          <t>Load_kg</t>
        </is>
      </c>
      <c r="B13" s="5" t="inlineStr">
        <is>
          <t>Zahl</t>
        </is>
      </c>
      <c r="C13" s="5" t="inlineStr">
        <is>
          <t>Zusatzlast (BW-Uebungen = 0)</t>
        </is>
      </c>
      <c r="D13" s="7" t="n"/>
    </row>
    <row r="14">
      <c r="A14" s="13" t="inlineStr">
        <is>
          <t>TopRPE</t>
        </is>
      </c>
      <c r="B14" s="5" t="inlineStr">
        <is>
          <t>0-10 (0,5er)</t>
        </is>
      </c>
      <c r="C14" s="5" t="inlineStr">
        <is>
          <t>hoechste RPE des Eintrags</t>
        </is>
      </c>
      <c r="D14" s="7" t="n"/>
    </row>
    <row r="15">
      <c r="A15" s="13" t="inlineStr">
        <is>
          <t>Pain_0_10</t>
        </is>
      </c>
      <c r="B15" s="5" t="inlineStr">
        <is>
          <t>0-10</t>
        </is>
      </c>
      <c r="C15" s="5" t="inlineStr">
        <is>
          <t>Schmerz waehrend/dazu</t>
        </is>
      </c>
      <c r="D15" s="7" t="n"/>
    </row>
    <row r="16">
      <c r="A16" s="13" t="inlineStr">
        <is>
          <t>Quality_0_5</t>
        </is>
      </c>
      <c r="B16" s="5" t="inlineStr">
        <is>
          <t>0-5</t>
        </is>
      </c>
      <c r="C16" s="5" t="inlineStr">
        <is>
          <t>Skill-Qualitaet (bei Skill)</t>
        </is>
      </c>
      <c r="D16" s="7" t="n"/>
    </row>
    <row r="17">
      <c r="A17" s="13" t="inlineStr">
        <is>
          <t>BestHold_s</t>
        </is>
      </c>
      <c r="B17" s="5" t="inlineStr">
        <is>
          <t>Zahl</t>
        </is>
      </c>
      <c r="C17" s="5" t="inlineStr">
        <is>
          <t>bester Hold in Sekunden (bei Holds)</t>
        </is>
      </c>
      <c r="D17" s="7" t="n"/>
    </row>
    <row r="18">
      <c r="A18" s="13" t="inlineStr">
        <is>
          <t>CleanReps</t>
        </is>
      </c>
      <c r="B18" s="5" t="inlineStr">
        <is>
          <t>Zahl</t>
        </is>
      </c>
      <c r="C18" s="5" t="inlineStr">
        <is>
          <t>saubere Reps (v.a. 90/Skill)</t>
        </is>
      </c>
      <c r="D18" s="7" t="n"/>
    </row>
    <row r="19">
      <c r="A19" s="13" t="inlineStr">
        <is>
          <t>Notes</t>
        </is>
      </c>
      <c r="B19" s="5" t="inlineStr">
        <is>
          <t>Text</t>
        </is>
      </c>
      <c r="C19" s="5" t="inlineStr">
        <is>
          <t>freie Voice-Notiz</t>
        </is>
      </c>
      <c r="D19" s="7" t="n"/>
    </row>
    <row r="20">
      <c r="A20" s="13" t="inlineStr">
        <is>
          <t>Key</t>
        </is>
      </c>
      <c r="B20" s="5" t="inlineStr">
        <is>
          <t>FORMEL =DayType&amp;"_W"&amp;Week</t>
        </is>
      </c>
      <c r="C20" s="5" t="inlineStr">
        <is>
          <t>fuer Rollups — NICHT manuell</t>
        </is>
      </c>
      <c r="D20" s="7" t="n"/>
    </row>
    <row r="21"/>
    <row r="22">
      <c r="A22" s="8" t="inlineStr">
        <is>
          <t>Regeln fuer das Logging-Modell (Klartext)</t>
        </is>
      </c>
      <c r="B22" s="9" t="n"/>
      <c r="C22" s="9" t="n"/>
      <c r="D22" s="9" t="n"/>
    </row>
    <row r="23">
      <c r="A23" s="5" t="inlineStr">
        <is>
          <t>• Append-only: neue Eintraege IMMER unten an B6_Training_Log anhaengen, nichts ueberschreiben.</t>
        </is>
      </c>
    </row>
    <row r="24">
      <c r="A24" s="5" t="inlineStr">
        <is>
          <t>• Alias -&gt; ExerciseID ueber B6_Exercise_Library mappen. Bei nicht eindeutigem Begriff EINE kurze Rueckfrage, sonst nicht nachfragen.</t>
        </is>
      </c>
    </row>
    <row r="25">
      <c r="A25" s="5" t="inlineStr">
        <is>
          <t>• Nicht zutreffende Felder = NA oder leer (z.B. BestHold_s bei einer Kraftuebung).</t>
        </is>
      </c>
    </row>
    <row r="26">
      <c r="A26" s="5" t="inlineStr">
        <is>
          <t>• Category und Key werden per Formel gefuellt (Tabellen-Spaltenformel zieht automatisch) — NICHT manuell eintragen.</t>
        </is>
      </c>
    </row>
    <row r="27">
      <c r="A27" s="5" t="inlineStr">
        <is>
          <t>• Datum als echtes Datum; 'heute' = aktuelles Datum.</t>
        </is>
      </c>
    </row>
    <row r="28">
      <c r="A28" s="5" t="inlineStr">
        <is>
          <t>• Eine Zeile pro Uebung pro Session. OAHS/Flag mit beiden Seiten -&gt; zwei Zeilen (Side=L und Side=R).</t>
        </is>
      </c>
    </row>
    <row r="29"/>
    <row r="30">
      <c r="A30" s="8" t="inlineStr">
        <is>
          <t>Beispiel-Diktate -&gt; exakte Zeile(n)</t>
        </is>
      </c>
      <c r="B30" s="9" t="n"/>
      <c r="C30" s="9" t="n"/>
      <c r="D30" s="9" t="n"/>
    </row>
    <row r="31">
      <c r="A31" s="11" t="inlineStr">
        <is>
          <t>#</t>
        </is>
      </c>
      <c r="B31" s="11" t="inlineStr">
        <is>
          <t>Diktat</t>
        </is>
      </c>
      <c r="C31" s="11" t="inlineStr">
        <is>
          <t>Resultierende Zeile(n)</t>
        </is>
      </c>
      <c r="D31" s="7" t="n"/>
    </row>
    <row r="32">
      <c r="A32" s="17" t="inlineStr">
        <is>
          <t>1</t>
        </is>
      </c>
      <c r="B32" s="5" t="inlineStr">
        <is>
          <t>Heute T1, Woche 2. 90 Grad, 5 Saetze, je 1 saubere Wiederholung, RPE 8,5, Ruecken 1, Handgelenk gut.</t>
        </is>
      </c>
      <c r="C32" s="5" t="inlineStr">
        <is>
          <t>Date=heute, DayType=T1, Week=2, ExerciseID=90, Side=NA, Sets=5, Reps_or_Scheme=1, Load_kg=0, TopRPE=8.5, Pain_0_10=1, CleanReps=5, Notes=Handgelenk gut  (Category/Key auto)</t>
        </is>
      </c>
      <c r="D32" s="7" t="n"/>
    </row>
    <row r="33">
      <c r="A33" s="17" t="inlineStr">
        <is>
          <t>2</t>
        </is>
      </c>
      <c r="B33" s="5" t="inlineStr">
        <is>
          <t>OAHS Holds, links 3 Holds bester 7 Sekunden Qualitaet 4, rechts 2 Holds bester 4 Sekunden Qualitaet 3.</t>
        </is>
      </c>
      <c r="C33" s="5" t="inlineStr">
        <is>
          <t>ZWEI Zeilen, ExerciseID=OAHS_line: (Side=L, Sets=3, BestHold_s=7, Quality_0_5=4)  und  (Side=R, Sets=2, BestHold_s=4, Quality_0_5=3)</t>
        </is>
      </c>
      <c r="D33" s="7" t="n"/>
    </row>
    <row r="34">
      <c r="A34" s="17" t="inlineStr">
        <is>
          <t>3</t>
        </is>
      </c>
      <c r="B34" s="5" t="inlineStr">
        <is>
          <t>Weighted Pull-up 4 Saetze 4 Wiederholungen plus 20 Kilo RPE 7.</t>
        </is>
      </c>
      <c r="C34" s="5" t="inlineStr">
        <is>
          <t>ExerciseID=WPU, Category(auto)=Pull, Side=NA, Sets=4, Reps_or_Scheme=4, Load_kg=20, TopRPE=7</t>
        </is>
      </c>
      <c r="D34" s="7" t="n"/>
    </row>
    <row r="35">
      <c r="A35" s="17" t="inlineStr">
        <is>
          <t>4</t>
        </is>
      </c>
      <c r="B35" s="5" t="inlineStr">
        <is>
          <t>Supported Flag links 4 Entries Qualitaet 4 Ruecken 2.</t>
        </is>
      </c>
      <c r="C35" s="5" t="inlineStr">
        <is>
          <t>ExerciseID=OAHS_flag_supported, Side=L, Sets=4, Quality_0_5=4, Pain_0_10=2</t>
        </is>
      </c>
      <c r="D35" s="7" t="n"/>
    </row>
    <row r="36">
      <c r="A36" s="17" t="inlineStr">
        <is>
          <t>5</t>
        </is>
      </c>
      <c r="B36" s="5" t="inlineStr">
        <is>
          <t>Pseudo Planche Push-up 3 mal 8 RPE 8.</t>
        </is>
      </c>
      <c r="C36" s="5" t="inlineStr">
        <is>
          <t>ExerciseID=pseudo_planche_pushup, Category(auto)=Planche, Sets=3, Reps_or_Scheme=8, TopRPE=8</t>
        </is>
      </c>
      <c r="D36" s="7" t="n"/>
    </row>
    <row r="37">
      <c r="A37" s="17" t="inlineStr">
        <is>
          <t>6</t>
        </is>
      </c>
      <c r="B37" s="5" t="inlineStr">
        <is>
          <t>T3 Woche 1, Hinge mit Dowel 3 Reps Ruecken 1, dann Beinpresse 3 mal 12 mit 120 Kilo RPE 7.</t>
        </is>
      </c>
      <c r="C37" s="5" t="inlineStr">
        <is>
          <t>ZWEI Zeilen: (ExerciseID=hinge_pattern, Sets=3, Reps_or_Scheme=3, Pain_0_10=1)  und  (ExerciseID=leg_press, Sets=3, Reps_or_Scheme=12, Load_kg=120, TopRPE=7)</t>
        </is>
      </c>
      <c r="D37" s="7" t="n"/>
    </row>
    <row r="38"/>
    <row r="39">
      <c r="A39" s="8" t="inlineStr">
        <is>
          <t>Kurze Bedienanleitung</t>
        </is>
      </c>
      <c r="B39" s="9" t="n"/>
      <c r="C39" s="9" t="n"/>
      <c r="D39" s="9" t="n"/>
    </row>
    <row r="40">
      <c r="A40" s="5" t="inlineStr">
        <is>
          <t>1) Taeglich: pro Uebung EINE Zeile unten in B6_Training_Log anhaengen (Dropdowns nutzen). Skill zuerst loggen.</t>
        </is>
      </c>
    </row>
    <row r="41">
      <c r="A41" s="5" t="inlineStr">
        <is>
          <t>2) Voice: diktiere DayType, Woche, Uebung (Alias reicht), Saetze/Reps/Last, RPE, Pain, ggf. Quality/Hold/Seite. Das Modell mappt Alias-&gt;ExerciseID und haengt an.</t>
        </is>
      </c>
    </row>
    <row r="42">
      <c r="A42" s="5" t="inlineStr">
        <is>
          <t>3) Category &amp; Key fuellen sich automatisch (Tabellenformel). Niemals ueberschreiben.</t>
        </is>
      </c>
    </row>
    <row r="43">
      <c r="A43" s="5" t="inlineStr">
        <is>
          <t>4) B6_Weekly_Summary und B6_Dashboard aktualisieren sich automatisch (Pain/RPE-Ampeln, Volumen, Best-Holds).</t>
        </is>
      </c>
    </row>
    <row r="44">
      <c r="A44" s="5" t="inlineStr">
        <is>
          <t>5) PLAN anpassen: in B6_Plan_Detail / B6_Schedule (Saetze/Reps/Progression). TRACKING anpassen: nur in B6_Training_Log.</t>
        </is>
      </c>
    </row>
    <row r="45">
      <c r="A45" s="5" t="inlineStr">
        <is>
          <t>6) Gates &amp; Hinge-Leiter in B6_Rules befolgen. Ernaehrung in B6_Nutrition_Targets (Maintenance).</t>
        </is>
      </c>
    </row>
    <row r="46">
      <c r="A46" s="5" t="inlineStr">
        <is>
          <t>7) Folgeblock B7: B6_-Sheets klonen, BlockCode (B6_Dashboard!B3) auf B7 setzen, Prefix anpassen.</t>
        </is>
      </c>
    </row>
  </sheetData>
  <mergeCells count="42">
    <mergeCell ref="C34:D34"/>
    <mergeCell ref="A23:D23"/>
    <mergeCell ref="C6:D6"/>
    <mergeCell ref="A22:D22"/>
    <mergeCell ref="C15:D15"/>
    <mergeCell ref="C33:D33"/>
    <mergeCell ref="C5:D5"/>
    <mergeCell ref="C14:D14"/>
    <mergeCell ref="A43:D43"/>
    <mergeCell ref="A28:D28"/>
    <mergeCell ref="C35:D35"/>
    <mergeCell ref="C4:D4"/>
    <mergeCell ref="A44:D44"/>
    <mergeCell ref="C20:D20"/>
    <mergeCell ref="A40:D40"/>
    <mergeCell ref="C10:D10"/>
    <mergeCell ref="C16:D16"/>
    <mergeCell ref="A30:D30"/>
    <mergeCell ref="A39:D39"/>
    <mergeCell ref="A24:D24"/>
    <mergeCell ref="C9:D9"/>
    <mergeCell ref="C31:D31"/>
    <mergeCell ref="A1:D1"/>
    <mergeCell ref="C12:D12"/>
    <mergeCell ref="A45:D45"/>
    <mergeCell ref="C11:D11"/>
    <mergeCell ref="C36:D36"/>
    <mergeCell ref="A25:D25"/>
    <mergeCell ref="A41:D41"/>
    <mergeCell ref="C17:D17"/>
    <mergeCell ref="A46:D46"/>
    <mergeCell ref="C8:D8"/>
    <mergeCell ref="A27:D27"/>
    <mergeCell ref="C32:D32"/>
    <mergeCell ref="C7:D7"/>
    <mergeCell ref="A3:D3"/>
    <mergeCell ref="C19:D19"/>
    <mergeCell ref="A26:D26"/>
    <mergeCell ref="C37:D37"/>
    <mergeCell ref="C13:D13"/>
    <mergeCell ref="C18:D18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2026-06-08T09:24:59Z</dcterms:created>
  <dcterms:modified xsi:type="dcterms:W3CDTF">2026-06-08T09:24:59Z</dcterms:modified>
</cp:coreProperties>
</file>