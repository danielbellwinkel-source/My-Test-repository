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B6_Exercise_Library!$A$4:$A$43</definedName>
  </definedNames>
  <calcPr calcId="124519" fullCalcOnLoad="1"/>
</workbook>
</file>

<file path=xl/sharedStrings.xml><?xml version="1.0" encoding="utf-8"?>
<sst xmlns="http://schemas.openxmlformats.org/spreadsheetml/2006/main" count="1378" uniqueCount="753">
  <si>
    <t>B6 — Performance-Block Dashboard (Hand Balancing / Calisthenics)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</si>
  <si>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</si>
  <si>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</si>
  <si>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</si>
  <si>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</si>
  <si>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</si>
  <si>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</si>
  <si>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</si>
  <si>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</si>
  <si>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</si>
  <si>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</si>
  <si>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</si>
  <si>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</si>
  <si>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keine Wettkaempfe -&gt; Progress-Maximierung,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</si>
  <si>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</si>
  <si>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</si>
  <si>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</si>
  <si>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</si>
  <si>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</si>
  <si>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</si>
  <si>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</si>
  <si>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</si>
  <si>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</si>
  <si>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</si>
  <si>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</si>
  <si>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</si>
  <si>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</si>
  <si>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</si>
  <si>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</si>
  <si>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</si>
  <si>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</si>
  <si>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</si>
  <si>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</si>
  <si>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</si>
  <si>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</si>
  <si>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</si>
  <si>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</si>
  <si>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</si>
  <si>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</si>
  <si>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</si>
  <si>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</si>
  <si>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</si>
  <si>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</si>
  <si>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</si>
  <si>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</si>
  <si>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</si>
  <si>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</si>
  <si>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</si>
  <si>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(6x/Woche)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</si>
  <si>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</si>
  <si>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</si>
  <si>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</si>
  <si>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</si>
  <si>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</si>
  <si>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</si>
  <si>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</si>
  <si>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</si>
  <si>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</si>
  <si>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</si>
  <si>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</si>
  <si>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</si>
  <si>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</si>
  <si>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</si>
  <si>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</si>
  <si>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</si>
  <si>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</si>
  <si>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stoppen, ggf. abklaeren.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</si>
  <si>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</si>
  <si>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</si>
  <si>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</si>
  <si>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</si>
  <si>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</si>
  <si>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</si>
  <si>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</si>
  <si>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</si>
  <si>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</si>
  <si>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reduzieren bei sauberem Re-Entry.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</si>
  <si>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</si>
  <si>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</si>
  <si>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</si>
  <si>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min): Handgelenke -&gt; HS-Line/Balance -&gt; OAHS-Line/Weight-Shift. Keine Max-Versuche an Nicht-Skill-Tagen. Skill nie ans Ende ermuedeter Sessions.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</si>
  <si>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</si>
  <si>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</si>
  <si>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</si>
  <si>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</si>
  <si>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</si>
  <si>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</si>
  <si>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</si>
  <si>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</si>
  <si>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</si>
  <si>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</si>
  <si>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</si>
  <si>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</si>
  <si>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</si>
  <si>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</si>
  <si>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</si>
  <si>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</si>
  <si>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</si>
  <si>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</si>
  <si>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</si>
  <si>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</si>
  <si>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</si>
  <si>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</si>
  <si>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</si>
  <si>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</si>
  <si>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</si>
  <si>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</si>
  <si>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</si>
  <si>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</si>
  <si>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</si>
  <si>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</si>
  <si>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</si>
  <si>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</si>
  <si>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</si>
  <si>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</si>
  <si>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</si>
  <si>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</si>
  <si>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</si>
  <si>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</si>
  <si>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</si>
  <si>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</si>
  <si>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</si>
  <si>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</si>
  <si>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</si>
  <si>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</si>
  <si>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</si>
  <si>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</si>
  <si>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</si>
  <si>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</si>
  <si>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</si>
  <si>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</si>
  <si>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</si>
  <si>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</si>
  <si>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</si>
  <si>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</si>
  <si>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</si>
  <si>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</si>
  <si>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</si>
  <si>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</si>
  <si>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</si>
  <si>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</si>
  <si>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</si>
  <si>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</si>
  <si>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</si>
  <si>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</si>
  <si>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RPE/Quality und Gates beachten.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</si>
  <si>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</si>
  <si>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</si>
  <si>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</si>
  <si>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</si>
  <si>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</si>
  <si>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</si>
  <si>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</si>
  <si>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</si>
  <si>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</si>
  <si>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</si>
  <si>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</si>
  <si>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</si>
  <si>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</si>
  <si>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</si>
  <si>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</si>
  <si>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</si>
  <si>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</si>
  <si>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</si>
  <si>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</si>
  <si>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</si>
  <si>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</si>
  <si>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</si>
  <si>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</si>
  <si>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</si>
  <si>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</si>
  <si>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</si>
  <si>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</si>
  <si>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</si>
  <si>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</si>
  <si>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</si>
  <si>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</si>
  <si>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</si>
  <si>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</si>
  <si>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</si>
  <si>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</si>
  <si>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</si>
  <si>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</si>
  <si>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</si>
  <si>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</si>
  <si>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</si>
  <si>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</si>
  <si>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</si>
  <si>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</si>
  <si>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</si>
  <si>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</si>
  <si>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</si>
  <si>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</si>
  <si>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</si>
  <si>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</si>
  <si>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</si>
  <si>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</si>
  <si>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</si>
  <si>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</si>
  <si>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</si>
  <si>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</si>
  <si>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</si>
  <si>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</si>
  <si>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</si>
  <si>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</si>
  <si>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</si>
  <si>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</si>
  <si>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</si>
  <si>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</si>
  <si>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</si>
  <si>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</si>
  <si>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</si>
  <si>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</si>
  <si>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</si>
  <si>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</si>
  <si>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</si>
  <si>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</si>
  <si>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</si>
  <si>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</si>
  <si>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</si>
  <si>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</si>
  <si>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</si>
  <si>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</si>
  <si>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</si>
  <si>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</si>
  <si>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</si>
  <si>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</si>
  <si>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</si>
  <si>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</si>
  <si>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</si>
  <si>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</si>
  <si>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</si>
  <si>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</si>
  <si>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</si>
  <si>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</si>
  <si>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</si>
  <si>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</si>
  <si>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</si>
  <si>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</si>
  <si>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</si>
  <si>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</si>
  <si>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</si>
  <si>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</si>
  <si>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</si>
  <si>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</si>
  <si>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</si>
  <si>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</si>
  <si>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</si>
  <si>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</si>
  <si>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</si>
  <si>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</si>
  <si>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</si>
  <si>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</si>
  <si>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</si>
  <si>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</si>
  <si>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</si>
  <si>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</si>
  <si>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</si>
  <si>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</si>
  <si>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</si>
  <si>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</si>
  <si>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</si>
  <si>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</si>
  <si>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</si>
  <si>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</si>
  <si>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</si>
  <si>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</si>
  <si>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</si>
  <si>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</si>
  <si>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</si>
  <si>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</si>
  <si>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</si>
  <si>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</si>
  <si>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</si>
  <si>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</si>
  <si>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</si>
  <si>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</si>
  <si>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</si>
  <si>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</si>
  <si>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</si>
  <si>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</si>
  <si>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</si>
  <si>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</si>
  <si>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</si>
  <si>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</si>
  <si>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</si>
  <si>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</si>
  <si>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</si>
  <si>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</si>
  <si>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</si>
  <si>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</si>
  <si>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</si>
  <si>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</si>
  <si>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</si>
  <si>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</si>
  <si>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</si>
  <si>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</si>
  <si>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</si>
  <si>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</si>
  <si>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</si>
  <si>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</si>
  <si>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</si>
  <si>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</si>
  <si>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</si>
  <si>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</si>
  <si>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</si>
  <si>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</si>
  <si>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</si>
  <si>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</si>
  <si>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</si>
  <si>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</si>
  <si>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</si>
  <si>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</si>
  <si>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</si>
  <si>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</si>
  <si>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</si>
  <si>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</si>
  <si>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</si>
  <si>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</si>
  <si>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</si>
  <si>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</si>
  <si>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</si>
  <si>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</si>
  <si>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</si>
  <si>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</si>
  <si>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</si>
  <si>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</si>
  <si>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</si>
  <si>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</si>
  <si>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</si>
  <si>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</si>
  <si>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</si>
  <si>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</si>
  <si>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</si>
  <si>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</si>
  <si>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</si>
  <si>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</si>
  <si>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</si>
  <si>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</si>
  <si>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</si>
  <si>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</si>
  <si>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</si>
  <si>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</si>
  <si>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</si>
  <si>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</si>
  <si>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</si>
  <si>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</si>
  <si>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</si>
  <si>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</si>
  <si>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</si>
  <si>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</si>
  <si>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</si>
  <si>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</si>
  <si>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</si>
  <si>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</si>
  <si>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</si>
  <si>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</si>
  <si>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Das Logging-Modell mappt gesprochene Begriffe ueber diese Tabelle auf die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</si>
  <si>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</si>
  <si>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</si>
  <si>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</si>
  <si>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</si>
  <si>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</si>
  <si>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</si>
  <si>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</si>
  <si>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</si>
  <si>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</si>
  <si>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</si>
  <si>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</si>
  <si>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</si>
  <si>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</si>
  <si>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</si>
  <si>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</si>
  <si>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</si>
  <si>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</si>
  <si>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</si>
  <si>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</si>
  <si>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</si>
  <si>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</si>
  <si>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</si>
  <si>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</si>
  <si>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</si>
  <si>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</si>
  <si>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</si>
  <si>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</si>
  <si>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</si>
  <si>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</si>
  <si>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</si>
  <si>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</si>
  <si>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</si>
  <si>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</si>
  <si>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</si>
  <si>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</si>
  <si>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</si>
  <si>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</si>
  <si>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</si>
  <si>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</si>
  <si>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</si>
  <si>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</si>
  <si>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</si>
  <si>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</si>
  <si>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</si>
  <si>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</si>
  <si>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</si>
  <si>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</si>
  <si>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</si>
  <si>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</si>
  <si>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</si>
  <si>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</si>
  <si>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</si>
  <si>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</si>
  <si>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</si>
  <si>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</si>
  <si>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</si>
  <si>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</si>
  <si>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</si>
  <si>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</si>
  <si>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</si>
  <si>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</si>
  <si>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</si>
  <si>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</si>
  <si>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</si>
  <si>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</si>
  <si>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</si>
  <si>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</si>
  <si>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</si>
  <si>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</si>
  <si>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</si>
  <si>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</si>
  <si>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</si>
  <si>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</si>
  <si>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</si>
  <si>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</si>
  <si>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</si>
  <si>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</si>
  <si>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</si>
  <si>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</si>
  <si>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</si>
  <si>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</si>
  <si>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</si>
  <si>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</si>
  <si>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</si>
  <si>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</si>
  <si>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</si>
  <si>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</si>
  <si>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</si>
  <si>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</si>
  <si>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</si>
  <si>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</si>
  <si>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</si>
  <si>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</si>
  <si>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</si>
  <si>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</si>
  <si>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</si>
  <si>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</si>
  <si>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</si>
  <si>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</si>
  <si>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</si>
  <si>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</si>
  <si>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</si>
  <si>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</si>
  <si>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</si>
  <si>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</si>
  <si>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</si>
  <si>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</si>
  <si>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</si>
  <si>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</si>
  <si>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</si>
  <si>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</si>
  <si>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</si>
  <si>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</si>
  <si>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</si>
  <si>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</si>
  <si>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</si>
  <si>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</si>
  <si>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</si>
  <si>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</si>
  <si>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</si>
  <si>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</si>
  <si>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</si>
  <si>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</si>
  <si>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</si>
  <si>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</si>
  <si>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</si>
  <si>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</si>
  <si>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</si>
  <si>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</si>
  <si>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</si>
  <si>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</si>
  <si>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</si>
  <si>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</si>
  <si>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</si>
  <si>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</si>
  <si>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</si>
  <si>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</si>
  <si>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</si>
  <si>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</si>
  <si>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</si>
  <si>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</si>
  <si>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</si>
  <si>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</si>
  <si>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</si>
  <si>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</si>
  <si>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</si>
  <si>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</si>
  <si>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</si>
  <si>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</si>
  <si>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</si>
  <si>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</si>
  <si>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</si>
  <si>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</si>
  <si>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</si>
  <si>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</si>
  <si>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</si>
  <si>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</si>
  <si>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</si>
  <si>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</si>
  <si>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</si>
  <si>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</si>
  <si>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</si>
  <si>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</si>
  <si>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</si>
  <si>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</si>
  <si>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</si>
  <si>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</si>
  <si>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</si>
  <si>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</si>
  <si>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</si>
  <si>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</si>
  <si>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</si>
  <si>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</si>
  <si>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</si>
  <si>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</si>
  <si>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</si>
  <si>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</si>
  <si>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</si>
  <si>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</si>
  <si>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</si>
  <si>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</si>
  <si>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</si>
  <si>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</si>
  <si>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</si>
  <si>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</si>
  <si>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</si>
  <si>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</si>
  <si>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</si>
  <si>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</si>
  <si>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</si>
  <si>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</si>
  <si>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1x Advanced Tuck versucht (nicht moeglich) + 3x8s Tuck Planche; schwaecher als sonst</t>
  </si>
  <si>
    <t>1x3@40, 3x4@35</t>
  </si>
  <si>
    <t>Satz1: 40 kg x3; Satz2-4: 35 kg x4; RPE 8-9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</si>
  <si>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</si>
  <si>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</si>
  <si>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</si>
  <si>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</si>
  <si>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</si>
  <si>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</si>
  <si>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</si>
  <si>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</si>
  <si>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</si>
  <si>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</si>
  <si>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</si>
  <si>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</si>
  <si>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</si>
  <si>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</si>
  <si>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</si>
  <si>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</si>
  <si>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</si>
  <si>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</si>
  <si>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</si>
  <si>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</si>
  <si>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</si>
  <si>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</si>
  <si>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</si>
  <si>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</si>
  <si>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</si>
  <si>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</si>
  <si>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</si>
  <si>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</si>
  <si>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</si>
  <si>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</si>
  <si>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</si>
  <si>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</si>
  <si>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</si>
  <si>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</si>
  <si>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(Autoregulation, Gates, Hinge-Rebuild, BWS-Protokoll, Referenzen)</t>
  </si>
  <si>
    <t>Vier-Stufen-Gates (Basis: 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</si>
  <si>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</si>
  <si>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</si>
  <si>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</si>
  <si>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</si>
  <si>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</si>
  <si>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</si>
  <si>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</si>
  <si>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</si>
  <si>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</si>
  <si>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</si>
  <si>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</si>
  <si>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</si>
  <si>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</si>
  <si>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</si>
  <si>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</si>
  <si>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</si>
  <si>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</si>
  <si>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</si>
  <si>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</si>
  <si>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</si>
  <si>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</si>
  <si>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</si>
  <si>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</si>
  <si>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</si>
  <si>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</si>
  <si>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</si>
  <si>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</si>
  <si>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</si>
  <si>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</si>
  <si>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</si>
  <si>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</si>
  <si>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</si>
  <si>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</si>
  <si>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</si>
  <si>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</si>
  <si>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</si>
  <si>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</si>
  <si>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</si>
  <si>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</si>
  <si>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</si>
  <si>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</si>
  <si>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</si>
  <si>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</si>
  <si>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45°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</si>
  <si>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</si>
  <si>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</si>
  <si>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</si>
  <si>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</si>
  <si>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</si>
  <si>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</si>
  <si>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</si>
  <si>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</si>
  <si>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</si>
  <si>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</si>
  <si>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 Posteriore Kette ueber Ham-Curl, Back-Ext-Iso, optional Hip-Thrust (nur schmerzfrei).</t>
  </si>
  <si>
    <t>BWS-Mobility-Protokoll (Einklemm-Thema, KEINE Diagnose — nur Training/Mobility)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</si>
  <si>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</si>
  <si>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</si>
  <si>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</si>
  <si>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</si>
  <si>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</si>
  <si>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</si>
  <si>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</si>
  <si>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</si>
  <si>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</si>
  <si>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</si>
  <si>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</si>
  <si>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</si>
  <si>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</si>
  <si>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</si>
  <si>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</si>
  <si>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</si>
  <si>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</si>
  <si>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</si>
  <si>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</si>
  <si>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</si>
  <si>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</si>
  <si>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</si>
  <si>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</si>
  <si>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</si>
  <si>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</si>
  <si>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</si>
  <si>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</si>
  <si>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</si>
  <si>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</si>
  <si>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</si>
  <si>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strukturierte Referenzen.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</si>
  <si>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</si>
  <si>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</si>
  <si>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</si>
  <si>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</si>
  <si>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</si>
  <si>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</si>
  <si>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</si>
  <si>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</si>
  <si>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</si>
  <si>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</si>
  <si>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</si>
  <si>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</si>
  <si>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</si>
  <si>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</si>
  <si>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</si>
  <si>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</si>
  <si>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</si>
  <si>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</si>
  <si>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</si>
  <si>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</si>
  <si>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</si>
  <si>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</si>
  <si>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</si>
  <si>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</si>
  <si>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</si>
  <si>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</si>
  <si>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</si>
  <si>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</si>
  <si>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</si>
  <si>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</si>
  <si>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</si>
  <si>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</si>
  <si>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</si>
  <si>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</si>
  <si>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</si>
  <si>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</si>
  <si>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</si>
  <si>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</si>
  <si>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</si>
  <si>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</si>
  <si>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</si>
  <si>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</si>
  <si>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</si>
  <si>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</si>
  <si>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</si>
  <si>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 (Klartext)</t>
  </si>
  <si>
    <t>• Append-only: neue Eintraege IMMER unten an B6_Training_Log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</si>
  <si>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</si>
  <si>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</si>
  <si>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 gefuellt (Tabellen-Spaltenformel zieht automatisch)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</si>
  <si>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</si>
  <si>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</si>
  <si>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</si>
  <si>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</si>
  <si>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</si>
  <si>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</si>
  <si>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</si>
  <si>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</si>
  <si>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</si>
  <si>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</si>
  <si>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</si>
  <si>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</si>
  <si>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</si>
  <si>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</si>
  <si>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</si>
  <si>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</si>
  <si>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</si>
  <si>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6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</si>
  <si>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</si>
  <si>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</si>
  <si>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</si>
  <si>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</si>
  <si>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 Das Modell mappt Alias-&gt;ExerciseID und haengt an.</t>
  </si>
  <si>
    <t>3) Category &amp; Key fuellen sich automatisch (Tabellenformel). Niemals ueberschreiben.</t>
  </si>
  <si>
    <t>4) B6_Weekly_Summary und B6_Dashboard aktualisieren sich automatisch (Pain/RPE-Ampeln, Volumen, Best-Holds).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</si>
  <si>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</si>
  <si>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</si>
  <si>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B6_-Sheets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</si>
</sst>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0" xfId="0" applyNumberFormat="1" applyFont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Lib" displayName="tblLib" ref="A3:H43" totalsRowShown="0">
  <autoFilter ref="A3:H43"/>
  <tableColumns count="8">
    <tableColumn id="1" name="ExerciseID"/>
    <tableColumn id="2" name="Aliases"/>
    <tableColumn id="3" name="DisplayName"/>
    <tableColumn id="4" name="Category"/>
    <tableColumn id="5" name="MuscleTag"/>
    <tableColumn id="6" name="TracksLoad"/>
    <tableColumn id="7" name="TracksHold"/>
    <tableColumn id="8" name="TracksSi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Log" displayName="tblLog" ref="A1:P18" totalsRowShown="0">
  <autoFilter ref="A1:P18"/>
  <tableColumns count="16">
    <tableColumn id="1" name="Date"/>
    <tableColumn id="2" name="DayType"/>
    <tableColumn id="3" name="Week"/>
    <tableColumn id="4" name="ExerciseID"/>
    <tableColumn id="5" name="Category">
      <calculatedColumnFormula>IFERROR(INDEX(B6_Exercise_Library!$D$4:$D$43,MATCH([[#This Row],ExerciseID],B6_Exercise_Library!$A$4:$A$43,0)),"")</calculatedColumnFormula>
    </tableColumn>
    <tableColumn id="6" name="Side"/>
    <tableColumn id="7" name="Sets"/>
    <tableColumn id="8" name="Reps_or_Scheme"/>
    <tableColumn id="9" name="Load_kg"/>
    <tableColumn id="10" name="TopRPE"/>
    <tableColumn id="11" name="Pain_0_10"/>
    <tableColumn id="12" name="Quality_0_5"/>
    <tableColumn id="13" name="BestHold_s"/>
    <tableColumn id="14" name="CleanReps"/>
    <tableColumn id="15" name="Notes"/>
    <tableColumn id="16" name="Key">
      <calculatedColumnFormula>[[#This Row],DayType]&amp;"_W"&amp;[[#This Row],Week]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COUNTA(tblLog[Date])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IFERROR(AVERAGE(tblLog[TopRPE]),0)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IFERROR(AVERAGE(tblLog[Pain_0_10]),0)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COUNTIF(tblLog[Pain_0_10],"&gt;=4")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SUMIFS(tblLog[CleanReps],tblLog[ExerciseID],"90")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MAXIFS(tblLog[BestHold_s],tblLog[Category],"SkillOAHS",tblLog[Side],"L")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MAXIFS(tblLog[BestHold_s],tblLog[Category],"SkillOAHS",tblLog[Side],"R")</f>
        <v>0</v>
      </c>
      <c r="C37" s="6" t="s">
        <v>73</v>
      </c>
      <c r="D37" s="4">
        <f>IF(B37=0,"-",IF(B37&gt;=MAXIFS(tblLog[BestHold_s],tblLog[Category],"SkillOAHS",tblLog[Side],"L")*0.7,"Asymmetrie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MAXIFS(tblLog[BestHold_s],tblLog[Category],"SkillFlag",tblLog[Side],"L")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MAXIFS(tblLog[BestHold_s],tblLog[Category],"SkillFlag",tblLog[Side],"R")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7" t="s">
        <v>81</v>
      </c>
      <c r="B3" s="7" t="s">
        <v>82</v>
      </c>
      <c r="C3" s="7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7" t="s">
        <v>88</v>
      </c>
      <c r="I3" s="7" t="s">
        <v>89</v>
      </c>
      <c r="J3" s="7" t="s">
        <v>90</v>
      </c>
    </row>
    <row r="4" spans="1:10">
      <c r="A4" s="6" t="s">
        <v>91</v>
      </c>
      <c r="B4" s="13" t="s">
        <v>92</v>
      </c>
      <c r="C4" s="6" t="s">
        <v>92</v>
      </c>
      <c r="D4" s="4" t="s">
        <v>93</v>
      </c>
      <c r="E4" s="4" t="s">
        <v>94</v>
      </c>
      <c r="F4" s="4" t="s">
        <v>95</v>
      </c>
      <c r="G4" s="4" t="s">
        <v>96</v>
      </c>
      <c r="H4" s="4" t="s">
        <v>97</v>
      </c>
      <c r="I4" s="4" t="s">
        <v>98</v>
      </c>
      <c r="J4" s="4" t="s">
        <v>99</v>
      </c>
    </row>
    <row r="5" spans="1:10">
      <c r="A5" s="6" t="s">
        <v>91</v>
      </c>
      <c r="B5" s="13" t="s">
        <v>100</v>
      </c>
      <c r="C5" s="6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4" t="s">
        <v>105</v>
      </c>
      <c r="I5" s="4" t="s">
        <v>106</v>
      </c>
      <c r="J5" s="4" t="s">
        <v>99</v>
      </c>
    </row>
    <row r="6" spans="1:10">
      <c r="A6" s="6" t="s">
        <v>91</v>
      </c>
      <c r="B6" s="13" t="s">
        <v>107</v>
      </c>
      <c r="C6" s="6" t="s">
        <v>107</v>
      </c>
      <c r="D6" s="4" t="s">
        <v>108</v>
      </c>
      <c r="E6" s="4" t="s">
        <v>109</v>
      </c>
      <c r="F6" s="4" t="s">
        <v>110</v>
      </c>
      <c r="G6" s="4" t="s">
        <v>111</v>
      </c>
      <c r="H6" s="4" t="s">
        <v>112</v>
      </c>
      <c r="I6" s="4" t="s">
        <v>113</v>
      </c>
      <c r="J6" s="4" t="s">
        <v>99</v>
      </c>
    </row>
    <row r="7" spans="1:10">
      <c r="A7" s="6" t="s">
        <v>91</v>
      </c>
      <c r="B7" s="13" t="s">
        <v>114</v>
      </c>
      <c r="C7" s="6" t="s">
        <v>114</v>
      </c>
      <c r="D7" s="4" t="s">
        <v>115</v>
      </c>
      <c r="E7" s="4" t="s">
        <v>116</v>
      </c>
      <c r="F7" s="4" t="s">
        <v>117</v>
      </c>
      <c r="G7" s="4" t="s">
        <v>118</v>
      </c>
      <c r="H7" s="4" t="s">
        <v>119</v>
      </c>
      <c r="I7" s="4" t="s">
        <v>120</v>
      </c>
      <c r="J7" s="4" t="s">
        <v>99</v>
      </c>
    </row>
    <row r="8" spans="1:10">
      <c r="A8" s="6" t="s">
        <v>91</v>
      </c>
      <c r="B8" s="13" t="s">
        <v>121</v>
      </c>
      <c r="C8" s="6" t="s">
        <v>121</v>
      </c>
      <c r="D8" s="4" t="s">
        <v>122</v>
      </c>
      <c r="E8" s="4" t="s">
        <v>123</v>
      </c>
      <c r="F8" s="4" t="s">
        <v>124</v>
      </c>
      <c r="G8" s="4" t="s">
        <v>125</v>
      </c>
      <c r="H8" s="4" t="s">
        <v>126</v>
      </c>
      <c r="I8" s="4" t="s">
        <v>127</v>
      </c>
      <c r="J8" s="4" t="s">
        <v>99</v>
      </c>
    </row>
    <row r="9" spans="1:10">
      <c r="A9" s="6" t="s">
        <v>34</v>
      </c>
      <c r="B9" s="13" t="s">
        <v>92</v>
      </c>
      <c r="C9" s="6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128</v>
      </c>
      <c r="J9" s="4" t="s">
        <v>99</v>
      </c>
    </row>
    <row r="10" spans="1:10">
      <c r="A10" s="6" t="s">
        <v>34</v>
      </c>
      <c r="B10" s="13" t="s">
        <v>100</v>
      </c>
      <c r="C10" s="6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129</v>
      </c>
      <c r="J10" s="4" t="s">
        <v>99</v>
      </c>
    </row>
    <row r="11" spans="1:10">
      <c r="A11" s="6" t="s">
        <v>34</v>
      </c>
      <c r="B11" s="13" t="s">
        <v>107</v>
      </c>
      <c r="C11" s="6" t="s">
        <v>107</v>
      </c>
      <c r="D11" s="4" t="s">
        <v>108</v>
      </c>
      <c r="E11" s="4" t="s">
        <v>109</v>
      </c>
      <c r="F11" s="4" t="s">
        <v>110</v>
      </c>
      <c r="G11" s="4" t="s">
        <v>111</v>
      </c>
      <c r="H11" s="4" t="s">
        <v>112</v>
      </c>
      <c r="I11" s="4" t="s">
        <v>130</v>
      </c>
      <c r="J11" s="4" t="s">
        <v>99</v>
      </c>
    </row>
    <row r="12" spans="1:10">
      <c r="A12" s="6" t="s">
        <v>34</v>
      </c>
      <c r="B12" s="13" t="s">
        <v>114</v>
      </c>
      <c r="C12" s="6" t="s">
        <v>114</v>
      </c>
      <c r="D12" s="4" t="s">
        <v>115</v>
      </c>
      <c r="E12" s="4" t="s">
        <v>116</v>
      </c>
      <c r="F12" s="4" t="s">
        <v>117</v>
      </c>
      <c r="G12" s="4" t="s">
        <v>118</v>
      </c>
      <c r="H12" s="4" t="s">
        <v>119</v>
      </c>
      <c r="I12" s="4" t="s">
        <v>131</v>
      </c>
      <c r="J12" s="4" t="s">
        <v>99</v>
      </c>
    </row>
    <row r="13" spans="1:10">
      <c r="A13" s="6" t="s">
        <v>34</v>
      </c>
      <c r="B13" s="13" t="s">
        <v>121</v>
      </c>
      <c r="C13" s="6" t="s">
        <v>121</v>
      </c>
      <c r="D13" s="4" t="s">
        <v>122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132</v>
      </c>
      <c r="J13" s="4" t="s">
        <v>99</v>
      </c>
    </row>
    <row r="14" spans="1:10">
      <c r="A14" s="6" t="s">
        <v>38</v>
      </c>
      <c r="B14" s="13" t="s">
        <v>92</v>
      </c>
      <c r="C14" s="6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133</v>
      </c>
      <c r="J14" s="4" t="s">
        <v>99</v>
      </c>
    </row>
    <row r="15" spans="1:10">
      <c r="A15" s="6" t="s">
        <v>38</v>
      </c>
      <c r="B15" s="13" t="s">
        <v>100</v>
      </c>
      <c r="C15" s="6" t="s">
        <v>100</v>
      </c>
      <c r="D15" s="4" t="s">
        <v>101</v>
      </c>
      <c r="E15" s="4" t="s">
        <v>102</v>
      </c>
      <c r="F15" s="4" t="s">
        <v>103</v>
      </c>
      <c r="G15" s="4" t="s">
        <v>104</v>
      </c>
      <c r="H15" s="4" t="s">
        <v>105</v>
      </c>
      <c r="I15" s="4" t="s">
        <v>134</v>
      </c>
      <c r="J15" s="4" t="s">
        <v>99</v>
      </c>
    </row>
    <row r="16" spans="1:10">
      <c r="A16" s="6" t="s">
        <v>38</v>
      </c>
      <c r="B16" s="13" t="s">
        <v>107</v>
      </c>
      <c r="C16" s="6" t="s">
        <v>107</v>
      </c>
      <c r="D16" s="4" t="s">
        <v>108</v>
      </c>
      <c r="E16" s="4" t="s">
        <v>109</v>
      </c>
      <c r="F16" s="4" t="s">
        <v>110</v>
      </c>
      <c r="G16" s="4" t="s">
        <v>111</v>
      </c>
      <c r="H16" s="4" t="s">
        <v>112</v>
      </c>
      <c r="I16" s="4" t="s">
        <v>135</v>
      </c>
      <c r="J16" s="4" t="s">
        <v>99</v>
      </c>
    </row>
    <row r="17" spans="1:10">
      <c r="A17" s="6" t="s">
        <v>38</v>
      </c>
      <c r="B17" s="13" t="s">
        <v>114</v>
      </c>
      <c r="C17" s="6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  <c r="I17" s="4" t="s">
        <v>136</v>
      </c>
      <c r="J17" s="4" t="s">
        <v>99</v>
      </c>
    </row>
    <row r="18" spans="1:10">
      <c r="A18" s="6" t="s">
        <v>38</v>
      </c>
      <c r="B18" s="13" t="s">
        <v>121</v>
      </c>
      <c r="C18" s="6" t="s">
        <v>121</v>
      </c>
      <c r="D18" s="4" t="s">
        <v>122</v>
      </c>
      <c r="E18" s="4" t="s">
        <v>123</v>
      </c>
      <c r="F18" s="4" t="s">
        <v>124</v>
      </c>
      <c r="G18" s="4" t="s">
        <v>125</v>
      </c>
      <c r="H18" s="4" t="s">
        <v>126</v>
      </c>
      <c r="I18" s="4" t="s">
        <v>137</v>
      </c>
      <c r="J18" s="4" t="s">
        <v>99</v>
      </c>
    </row>
    <row r="19" spans="1:10">
      <c r="A19" s="6" t="s">
        <v>138</v>
      </c>
      <c r="B19" s="13" t="s">
        <v>92</v>
      </c>
      <c r="C19" s="6" t="s">
        <v>92</v>
      </c>
      <c r="D19" s="4" t="s">
        <v>93</v>
      </c>
      <c r="E19" s="4" t="s">
        <v>94</v>
      </c>
      <c r="F19" s="4" t="s">
        <v>95</v>
      </c>
      <c r="G19" s="4" t="s">
        <v>96</v>
      </c>
      <c r="H19" s="4" t="s">
        <v>97</v>
      </c>
      <c r="I19" s="4" t="s">
        <v>139</v>
      </c>
      <c r="J19" s="4" t="s">
        <v>99</v>
      </c>
    </row>
    <row r="20" spans="1:10">
      <c r="A20" s="6" t="s">
        <v>138</v>
      </c>
      <c r="B20" s="13" t="s">
        <v>100</v>
      </c>
      <c r="C20" s="6" t="s">
        <v>100</v>
      </c>
      <c r="D20" s="4" t="s">
        <v>101</v>
      </c>
      <c r="E20" s="4" t="s">
        <v>102</v>
      </c>
      <c r="F20" s="4" t="s">
        <v>103</v>
      </c>
      <c r="G20" s="4" t="s">
        <v>104</v>
      </c>
      <c r="H20" s="4" t="s">
        <v>105</v>
      </c>
      <c r="I20" s="4" t="s">
        <v>140</v>
      </c>
      <c r="J20" s="4" t="s">
        <v>99</v>
      </c>
    </row>
    <row r="21" spans="1:10">
      <c r="A21" s="6" t="s">
        <v>138</v>
      </c>
      <c r="B21" s="13" t="s">
        <v>107</v>
      </c>
      <c r="C21" s="6" t="s">
        <v>107</v>
      </c>
      <c r="D21" s="4" t="s">
        <v>108</v>
      </c>
      <c r="E21" s="4" t="s">
        <v>109</v>
      </c>
      <c r="F21" s="4" t="s">
        <v>110</v>
      </c>
      <c r="G21" s="4" t="s">
        <v>111</v>
      </c>
      <c r="H21" s="4" t="s">
        <v>112</v>
      </c>
      <c r="I21" s="4" t="s">
        <v>141</v>
      </c>
      <c r="J21" s="4" t="s">
        <v>99</v>
      </c>
    </row>
    <row r="22" spans="1:10">
      <c r="A22" s="6" t="s">
        <v>138</v>
      </c>
      <c r="B22" s="13" t="s">
        <v>114</v>
      </c>
      <c r="C22" s="6" t="s">
        <v>114</v>
      </c>
      <c r="D22" s="4" t="s">
        <v>115</v>
      </c>
      <c r="E22" s="4" t="s">
        <v>116</v>
      </c>
      <c r="F22" s="4" t="s">
        <v>117</v>
      </c>
      <c r="G22" s="4" t="s">
        <v>118</v>
      </c>
      <c r="H22" s="4" t="s">
        <v>119</v>
      </c>
      <c r="I22" s="4" t="s">
        <v>142</v>
      </c>
      <c r="J22" s="4" t="s">
        <v>99</v>
      </c>
    </row>
    <row r="23" spans="1:10">
      <c r="A23" s="6" t="s">
        <v>138</v>
      </c>
      <c r="B23" s="13" t="s">
        <v>121</v>
      </c>
      <c r="C23" s="6" t="s">
        <v>121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126</v>
      </c>
      <c r="I23" s="4" t="s">
        <v>143</v>
      </c>
      <c r="J23" s="4" t="s">
        <v>99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83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  <c r="I3" s="7" t="s">
        <v>153</v>
      </c>
      <c r="J3" s="7" t="s">
        <v>154</v>
      </c>
      <c r="K3" s="7" t="s">
        <v>155</v>
      </c>
      <c r="L3" s="7" t="s">
        <v>90</v>
      </c>
    </row>
    <row r="4" spans="1:12">
      <c r="A4" s="14" t="s">
        <v>156</v>
      </c>
      <c r="B4" s="4" t="s">
        <v>157</v>
      </c>
      <c r="C4" s="4" t="s">
        <v>158</v>
      </c>
      <c r="D4" s="6" t="s">
        <v>159</v>
      </c>
      <c r="E4" s="6" t="s">
        <v>47</v>
      </c>
      <c r="F4" s="6" t="s">
        <v>47</v>
      </c>
      <c r="G4" s="6" t="s">
        <v>47</v>
      </c>
      <c r="H4" s="6" t="s">
        <v>160</v>
      </c>
      <c r="I4" s="6" t="s">
        <v>161</v>
      </c>
      <c r="J4" s="4" t="s">
        <v>162</v>
      </c>
      <c r="K4" s="4" t="s">
        <v>163</v>
      </c>
      <c r="L4" s="4" t="s">
        <v>164</v>
      </c>
    </row>
    <row r="5" spans="1:12">
      <c r="A5" s="14" t="s">
        <v>156</v>
      </c>
      <c r="B5" s="4" t="s">
        <v>165</v>
      </c>
      <c r="C5" s="4" t="s">
        <v>166</v>
      </c>
      <c r="D5" s="6" t="s">
        <v>167</v>
      </c>
      <c r="E5" s="6" t="s">
        <v>168</v>
      </c>
      <c r="F5" s="6" t="s">
        <v>168</v>
      </c>
      <c r="G5" s="6" t="s">
        <v>168</v>
      </c>
      <c r="H5" s="6" t="s">
        <v>160</v>
      </c>
      <c r="I5" s="6" t="s">
        <v>161</v>
      </c>
      <c r="J5" s="4" t="s">
        <v>169</v>
      </c>
      <c r="K5" s="4" t="s">
        <v>170</v>
      </c>
      <c r="L5" s="4" t="s">
        <v>171</v>
      </c>
    </row>
    <row r="6" spans="1:12">
      <c r="A6" s="14" t="s">
        <v>156</v>
      </c>
      <c r="B6" s="4" t="s">
        <v>165</v>
      </c>
      <c r="C6" s="4" t="s">
        <v>172</v>
      </c>
      <c r="D6" s="6" t="s">
        <v>168</v>
      </c>
      <c r="E6" s="6" t="s">
        <v>168</v>
      </c>
      <c r="F6" s="6" t="s">
        <v>168</v>
      </c>
      <c r="G6" s="6" t="s">
        <v>168</v>
      </c>
      <c r="H6" s="6" t="s">
        <v>160</v>
      </c>
      <c r="I6" s="6" t="s">
        <v>161</v>
      </c>
      <c r="J6" s="4" t="s">
        <v>173</v>
      </c>
      <c r="K6" s="4" t="s">
        <v>163</v>
      </c>
      <c r="L6" s="4" t="s">
        <v>174</v>
      </c>
    </row>
    <row r="7" spans="1:12">
      <c r="A7" s="15" t="s">
        <v>92</v>
      </c>
      <c r="B7" s="4" t="s">
        <v>175</v>
      </c>
      <c r="C7" s="4" t="s">
        <v>176</v>
      </c>
      <c r="D7" s="6" t="s">
        <v>177</v>
      </c>
      <c r="E7" s="6" t="s">
        <v>32</v>
      </c>
      <c r="F7" s="6" t="s">
        <v>32</v>
      </c>
      <c r="G7" s="6" t="s">
        <v>178</v>
      </c>
      <c r="H7" s="6" t="s">
        <v>160</v>
      </c>
      <c r="I7" s="6" t="s">
        <v>179</v>
      </c>
      <c r="J7" s="4" t="s">
        <v>180</v>
      </c>
      <c r="K7" s="4" t="s">
        <v>163</v>
      </c>
      <c r="L7" s="4" t="s">
        <v>181</v>
      </c>
    </row>
    <row r="8" spans="1:12">
      <c r="A8" s="15" t="s">
        <v>92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186</v>
      </c>
      <c r="G8" s="6" t="s">
        <v>187</v>
      </c>
      <c r="H8" s="6" t="s">
        <v>188</v>
      </c>
      <c r="I8" s="6" t="s">
        <v>189</v>
      </c>
      <c r="J8" s="4" t="s">
        <v>190</v>
      </c>
      <c r="K8" s="4" t="s">
        <v>191</v>
      </c>
      <c r="L8" s="4" t="s">
        <v>192</v>
      </c>
    </row>
    <row r="9" spans="1:12">
      <c r="A9" s="15" t="s">
        <v>92</v>
      </c>
      <c r="B9" s="4" t="s">
        <v>193</v>
      </c>
      <c r="C9" s="4" t="s">
        <v>194</v>
      </c>
      <c r="D9" s="6" t="s">
        <v>195</v>
      </c>
      <c r="E9" s="6" t="s">
        <v>32</v>
      </c>
      <c r="F9" s="6" t="s">
        <v>32</v>
      </c>
      <c r="G9" s="6" t="s">
        <v>47</v>
      </c>
      <c r="H9" s="6" t="s">
        <v>196</v>
      </c>
      <c r="I9" s="6" t="s">
        <v>197</v>
      </c>
      <c r="J9" s="4" t="s">
        <v>198</v>
      </c>
      <c r="K9" s="4" t="s">
        <v>163</v>
      </c>
      <c r="L9" s="4" t="s">
        <v>199</v>
      </c>
    </row>
    <row r="10" spans="1:12">
      <c r="A10" s="15" t="s">
        <v>92</v>
      </c>
      <c r="B10" s="4" t="s">
        <v>200</v>
      </c>
      <c r="C10" s="4" t="s">
        <v>201</v>
      </c>
      <c r="D10" s="6" t="s">
        <v>202</v>
      </c>
      <c r="E10" s="6" t="s">
        <v>203</v>
      </c>
      <c r="F10" s="6" t="s">
        <v>204</v>
      </c>
      <c r="G10" s="6" t="s">
        <v>205</v>
      </c>
      <c r="H10" s="6" t="s">
        <v>196</v>
      </c>
      <c r="I10" s="6" t="s">
        <v>189</v>
      </c>
      <c r="J10" s="4" t="s">
        <v>206</v>
      </c>
      <c r="K10" s="4" t="s">
        <v>163</v>
      </c>
      <c r="L10" s="4" t="s">
        <v>207</v>
      </c>
    </row>
    <row r="11" spans="1:12">
      <c r="A11" s="15" t="s">
        <v>92</v>
      </c>
      <c r="B11" s="4" t="s">
        <v>208</v>
      </c>
      <c r="C11" s="4" t="s">
        <v>209</v>
      </c>
      <c r="D11" s="6" t="s">
        <v>210</v>
      </c>
      <c r="E11" s="6" t="s">
        <v>33</v>
      </c>
      <c r="F11" s="6" t="s">
        <v>33</v>
      </c>
      <c r="G11" s="6" t="s">
        <v>47</v>
      </c>
      <c r="H11" s="6" t="s">
        <v>211</v>
      </c>
      <c r="I11" s="6" t="s">
        <v>212</v>
      </c>
      <c r="J11" s="4" t="s">
        <v>213</v>
      </c>
      <c r="K11" s="4" t="s">
        <v>163</v>
      </c>
      <c r="L11" s="4" t="s">
        <v>214</v>
      </c>
    </row>
    <row r="12" spans="1:12">
      <c r="A12" s="16" t="s">
        <v>100</v>
      </c>
      <c r="B12" s="4" t="s">
        <v>175</v>
      </c>
      <c r="C12" s="4" t="s">
        <v>215</v>
      </c>
      <c r="D12" s="6" t="s">
        <v>216</v>
      </c>
      <c r="E12" s="6" t="s">
        <v>32</v>
      </c>
      <c r="F12" s="6" t="s">
        <v>32</v>
      </c>
      <c r="G12" s="6" t="s">
        <v>46</v>
      </c>
      <c r="H12" s="6" t="s">
        <v>160</v>
      </c>
      <c r="I12" s="6" t="s">
        <v>179</v>
      </c>
      <c r="J12" s="4" t="s">
        <v>217</v>
      </c>
      <c r="K12" s="4" t="s">
        <v>163</v>
      </c>
      <c r="L12" s="4" t="s">
        <v>218</v>
      </c>
    </row>
    <row r="13" spans="1:12">
      <c r="A13" s="16" t="s">
        <v>100</v>
      </c>
      <c r="B13" s="4" t="s">
        <v>219</v>
      </c>
      <c r="C13" s="4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196</v>
      </c>
      <c r="I13" s="6" t="s">
        <v>225</v>
      </c>
      <c r="J13" s="4" t="s">
        <v>226</v>
      </c>
      <c r="K13" s="4" t="s">
        <v>227</v>
      </c>
      <c r="L13" s="4" t="s">
        <v>228</v>
      </c>
    </row>
    <row r="14" spans="1:12">
      <c r="A14" s="16" t="s">
        <v>100</v>
      </c>
      <c r="B14" s="4" t="s">
        <v>229</v>
      </c>
      <c r="C14" s="4" t="s">
        <v>230</v>
      </c>
      <c r="D14" s="6" t="s">
        <v>231</v>
      </c>
      <c r="E14" s="6" t="s">
        <v>223</v>
      </c>
      <c r="F14" s="6" t="s">
        <v>232</v>
      </c>
      <c r="G14" s="6" t="s">
        <v>233</v>
      </c>
      <c r="H14" s="6" t="s">
        <v>196</v>
      </c>
      <c r="I14" s="6" t="s">
        <v>225</v>
      </c>
      <c r="J14" s="4" t="s">
        <v>234</v>
      </c>
      <c r="K14" s="4" t="s">
        <v>163</v>
      </c>
      <c r="L14" s="4" t="s">
        <v>235</v>
      </c>
    </row>
    <row r="15" spans="1:12">
      <c r="A15" s="16" t="s">
        <v>100</v>
      </c>
      <c r="B15" s="4" t="s">
        <v>236</v>
      </c>
      <c r="C15" s="4" t="s">
        <v>237</v>
      </c>
      <c r="D15" s="6" t="s">
        <v>238</v>
      </c>
      <c r="E15" s="6" t="s">
        <v>32</v>
      </c>
      <c r="F15" s="6" t="s">
        <v>32</v>
      </c>
      <c r="G15" s="6" t="s">
        <v>33</v>
      </c>
      <c r="H15" s="6" t="s">
        <v>239</v>
      </c>
      <c r="I15" s="6" t="s">
        <v>212</v>
      </c>
      <c r="J15" s="4" t="s">
        <v>240</v>
      </c>
      <c r="K15" s="4" t="s">
        <v>163</v>
      </c>
      <c r="L15" s="4" t="s">
        <v>241</v>
      </c>
    </row>
    <row r="16" spans="1:12">
      <c r="A16" s="16" t="s">
        <v>100</v>
      </c>
      <c r="B16" s="4" t="s">
        <v>242</v>
      </c>
      <c r="C16" s="4" t="s">
        <v>243</v>
      </c>
      <c r="D16" s="6" t="s">
        <v>244</v>
      </c>
      <c r="E16" s="6" t="s">
        <v>32</v>
      </c>
      <c r="F16" s="6" t="s">
        <v>32</v>
      </c>
      <c r="G16" s="6" t="s">
        <v>33</v>
      </c>
      <c r="H16" s="6" t="s">
        <v>245</v>
      </c>
      <c r="I16" s="6" t="s">
        <v>246</v>
      </c>
      <c r="J16" s="4" t="s">
        <v>247</v>
      </c>
      <c r="K16" s="4" t="s">
        <v>248</v>
      </c>
      <c r="L16" s="4" t="s">
        <v>249</v>
      </c>
    </row>
    <row r="17" spans="1:12">
      <c r="A17" s="17" t="s">
        <v>107</v>
      </c>
      <c r="B17" s="4" t="s">
        <v>250</v>
      </c>
      <c r="C17" s="4" t="s">
        <v>251</v>
      </c>
      <c r="D17" s="6" t="s">
        <v>252</v>
      </c>
      <c r="E17" s="6" t="s">
        <v>37</v>
      </c>
      <c r="F17" s="6" t="s">
        <v>37</v>
      </c>
      <c r="G17" s="6" t="s">
        <v>37</v>
      </c>
      <c r="H17" s="6" t="s">
        <v>253</v>
      </c>
      <c r="I17" s="6" t="s">
        <v>161</v>
      </c>
      <c r="J17" s="4" t="s">
        <v>254</v>
      </c>
      <c r="K17" s="4" t="s">
        <v>255</v>
      </c>
      <c r="L17" s="4" t="s">
        <v>256</v>
      </c>
    </row>
    <row r="18" spans="1:12">
      <c r="A18" s="17" t="s">
        <v>107</v>
      </c>
      <c r="B18" s="4" t="s">
        <v>257</v>
      </c>
      <c r="C18" s="4" t="s">
        <v>258</v>
      </c>
      <c r="D18" s="6" t="s">
        <v>259</v>
      </c>
      <c r="E18" s="6" t="s">
        <v>231</v>
      </c>
      <c r="F18" s="6" t="s">
        <v>260</v>
      </c>
      <c r="G18" s="6" t="s">
        <v>224</v>
      </c>
      <c r="H18" s="6" t="s">
        <v>196</v>
      </c>
      <c r="I18" s="6" t="s">
        <v>225</v>
      </c>
      <c r="J18" s="4" t="s">
        <v>261</v>
      </c>
      <c r="K18" s="4" t="s">
        <v>262</v>
      </c>
      <c r="L18" s="4" t="s">
        <v>263</v>
      </c>
    </row>
    <row r="19" spans="1:12">
      <c r="A19" s="17" t="s">
        <v>107</v>
      </c>
      <c r="B19" s="4" t="s">
        <v>264</v>
      </c>
      <c r="C19" s="4" t="s">
        <v>265</v>
      </c>
      <c r="D19" s="6" t="s">
        <v>221</v>
      </c>
      <c r="E19" s="6" t="s">
        <v>221</v>
      </c>
      <c r="F19" s="6" t="s">
        <v>266</v>
      </c>
      <c r="G19" s="6" t="s">
        <v>267</v>
      </c>
      <c r="H19" s="6" t="s">
        <v>196</v>
      </c>
      <c r="I19" s="6" t="s">
        <v>197</v>
      </c>
      <c r="J19" s="4" t="s">
        <v>268</v>
      </c>
      <c r="K19" s="4" t="s">
        <v>269</v>
      </c>
      <c r="L19" s="4" t="s">
        <v>263</v>
      </c>
    </row>
    <row r="20" spans="1:12">
      <c r="A20" s="17" t="s">
        <v>107</v>
      </c>
      <c r="B20" s="4" t="s">
        <v>270</v>
      </c>
      <c r="C20" s="4" t="s">
        <v>271</v>
      </c>
      <c r="D20" s="6" t="s">
        <v>221</v>
      </c>
      <c r="E20" s="6" t="s">
        <v>32</v>
      </c>
      <c r="F20" s="6" t="s">
        <v>32</v>
      </c>
      <c r="G20" s="6" t="s">
        <v>33</v>
      </c>
      <c r="H20" s="6" t="s">
        <v>272</v>
      </c>
      <c r="I20" s="6" t="s">
        <v>273</v>
      </c>
      <c r="J20" s="4" t="s">
        <v>274</v>
      </c>
      <c r="K20" s="4" t="s">
        <v>275</v>
      </c>
      <c r="L20" s="4" t="s">
        <v>276</v>
      </c>
    </row>
    <row r="21" spans="1:12">
      <c r="A21" s="17" t="s">
        <v>107</v>
      </c>
      <c r="B21" s="4" t="s">
        <v>277</v>
      </c>
      <c r="C21" s="4" t="s">
        <v>278</v>
      </c>
      <c r="D21" s="6" t="s">
        <v>279</v>
      </c>
      <c r="E21" s="6" t="s">
        <v>32</v>
      </c>
      <c r="F21" s="6" t="s">
        <v>32</v>
      </c>
      <c r="G21" s="6" t="s">
        <v>33</v>
      </c>
      <c r="H21" s="6" t="s">
        <v>272</v>
      </c>
      <c r="I21" s="6" t="s">
        <v>246</v>
      </c>
      <c r="J21" s="4" t="s">
        <v>226</v>
      </c>
      <c r="K21" s="4" t="s">
        <v>163</v>
      </c>
      <c r="L21" s="4" t="s">
        <v>280</v>
      </c>
    </row>
    <row r="22" spans="1:12">
      <c r="A22" s="17" t="s">
        <v>107</v>
      </c>
      <c r="B22" s="4" t="s">
        <v>281</v>
      </c>
      <c r="C22" s="4" t="s">
        <v>282</v>
      </c>
      <c r="D22" s="6" t="s">
        <v>159</v>
      </c>
      <c r="E22" s="6" t="s">
        <v>47</v>
      </c>
      <c r="F22" s="6" t="s">
        <v>47</v>
      </c>
      <c r="G22" s="6" t="s">
        <v>47</v>
      </c>
      <c r="H22" s="6" t="s">
        <v>160</v>
      </c>
      <c r="I22" s="6" t="s">
        <v>161</v>
      </c>
      <c r="J22" s="4" t="s">
        <v>283</v>
      </c>
      <c r="K22" s="4" t="s">
        <v>284</v>
      </c>
      <c r="L22" s="4" t="s">
        <v>285</v>
      </c>
    </row>
    <row r="23" spans="1:12">
      <c r="A23" s="17" t="s">
        <v>107</v>
      </c>
      <c r="B23" s="4" t="s">
        <v>242</v>
      </c>
      <c r="C23" s="4" t="s">
        <v>286</v>
      </c>
      <c r="D23" s="6" t="s">
        <v>287</v>
      </c>
      <c r="E23" s="6" t="s">
        <v>32</v>
      </c>
      <c r="F23" s="6" t="s">
        <v>32</v>
      </c>
      <c r="G23" s="6" t="s">
        <v>33</v>
      </c>
      <c r="H23" s="6" t="s">
        <v>245</v>
      </c>
      <c r="I23" s="6" t="s">
        <v>212</v>
      </c>
      <c r="J23" s="4" t="s">
        <v>288</v>
      </c>
      <c r="K23" s="4" t="s">
        <v>289</v>
      </c>
      <c r="L23" s="4" t="s">
        <v>290</v>
      </c>
    </row>
    <row r="24" spans="1:12">
      <c r="A24" s="18" t="s">
        <v>114</v>
      </c>
      <c r="B24" s="4" t="s">
        <v>157</v>
      </c>
      <c r="C24" s="4" t="s">
        <v>291</v>
      </c>
      <c r="D24" s="6" t="s">
        <v>159</v>
      </c>
      <c r="E24" s="6" t="s">
        <v>47</v>
      </c>
      <c r="F24" s="6" t="s">
        <v>47</v>
      </c>
      <c r="G24" s="6" t="s">
        <v>47</v>
      </c>
      <c r="H24" s="6" t="s">
        <v>160</v>
      </c>
      <c r="I24" s="6" t="s">
        <v>161</v>
      </c>
      <c r="J24" s="4" t="s">
        <v>292</v>
      </c>
      <c r="K24" s="4" t="s">
        <v>163</v>
      </c>
      <c r="L24" s="4" t="s">
        <v>293</v>
      </c>
    </row>
    <row r="25" spans="1:12">
      <c r="A25" s="18" t="s">
        <v>114</v>
      </c>
      <c r="B25" s="4" t="s">
        <v>294</v>
      </c>
      <c r="C25" s="4" t="s">
        <v>295</v>
      </c>
      <c r="D25" s="6" t="s">
        <v>296</v>
      </c>
      <c r="E25" s="6" t="s">
        <v>297</v>
      </c>
      <c r="F25" s="6" t="s">
        <v>298</v>
      </c>
      <c r="G25" s="6" t="s">
        <v>299</v>
      </c>
      <c r="H25" s="6" t="s">
        <v>160</v>
      </c>
      <c r="I25" s="6" t="s">
        <v>225</v>
      </c>
      <c r="J25" s="4" t="s">
        <v>119</v>
      </c>
      <c r="K25" s="4" t="s">
        <v>300</v>
      </c>
      <c r="L25" s="4" t="s">
        <v>301</v>
      </c>
    </row>
    <row r="26" spans="1:12">
      <c r="A26" s="18" t="s">
        <v>114</v>
      </c>
      <c r="B26" s="4" t="s">
        <v>294</v>
      </c>
      <c r="C26" s="4" t="s">
        <v>302</v>
      </c>
      <c r="D26" s="6" t="s">
        <v>177</v>
      </c>
      <c r="E26" s="6" t="s">
        <v>303</v>
      </c>
      <c r="F26" s="6" t="s">
        <v>297</v>
      </c>
      <c r="G26" s="6" t="s">
        <v>299</v>
      </c>
      <c r="H26" s="6" t="s">
        <v>160</v>
      </c>
      <c r="I26" s="6" t="s">
        <v>225</v>
      </c>
      <c r="J26" s="4" t="s">
        <v>304</v>
      </c>
      <c r="K26" s="4" t="s">
        <v>305</v>
      </c>
      <c r="L26" s="4" t="s">
        <v>306</v>
      </c>
    </row>
    <row r="27" spans="1:12">
      <c r="A27" s="18" t="s">
        <v>114</v>
      </c>
      <c r="B27" s="4" t="s">
        <v>307</v>
      </c>
      <c r="C27" s="4" t="s">
        <v>308</v>
      </c>
      <c r="D27" s="6" t="s">
        <v>309</v>
      </c>
      <c r="E27" s="6" t="s">
        <v>310</v>
      </c>
      <c r="F27" s="6" t="s">
        <v>311</v>
      </c>
      <c r="G27" s="6" t="s">
        <v>312</v>
      </c>
      <c r="H27" s="6" t="s">
        <v>239</v>
      </c>
      <c r="I27" s="6" t="s">
        <v>197</v>
      </c>
      <c r="J27" s="4" t="s">
        <v>313</v>
      </c>
      <c r="K27" s="4" t="s">
        <v>170</v>
      </c>
      <c r="L27" s="4" t="s">
        <v>314</v>
      </c>
    </row>
    <row r="28" spans="1:12">
      <c r="A28" s="18" t="s">
        <v>114</v>
      </c>
      <c r="B28" s="4" t="s">
        <v>315</v>
      </c>
      <c r="C28" s="4" t="s">
        <v>316</v>
      </c>
      <c r="D28" s="6" t="s">
        <v>317</v>
      </c>
      <c r="E28" s="6" t="s">
        <v>318</v>
      </c>
      <c r="F28" s="6" t="s">
        <v>319</v>
      </c>
      <c r="G28" s="6" t="s">
        <v>320</v>
      </c>
      <c r="H28" s="6" t="s">
        <v>196</v>
      </c>
      <c r="I28" s="6" t="s">
        <v>225</v>
      </c>
      <c r="J28" s="4" t="s">
        <v>321</v>
      </c>
      <c r="K28" s="4" t="s">
        <v>322</v>
      </c>
      <c r="L28" s="4" t="s">
        <v>323</v>
      </c>
    </row>
    <row r="29" spans="1:12">
      <c r="A29" s="18" t="s">
        <v>114</v>
      </c>
      <c r="B29" s="4" t="s">
        <v>324</v>
      </c>
      <c r="C29" s="4" t="s">
        <v>325</v>
      </c>
      <c r="D29" s="6" t="s">
        <v>326</v>
      </c>
      <c r="E29" s="6" t="s">
        <v>32</v>
      </c>
      <c r="F29" s="6" t="s">
        <v>32</v>
      </c>
      <c r="G29" s="6" t="s">
        <v>33</v>
      </c>
      <c r="H29" s="6" t="s">
        <v>272</v>
      </c>
      <c r="I29" s="6" t="s">
        <v>273</v>
      </c>
      <c r="J29" s="4" t="s">
        <v>327</v>
      </c>
      <c r="K29" s="4" t="s">
        <v>328</v>
      </c>
      <c r="L29" s="4" t="s">
        <v>324</v>
      </c>
    </row>
    <row r="30" spans="1:12">
      <c r="A30" s="19" t="s">
        <v>121</v>
      </c>
      <c r="B30" s="4" t="s">
        <v>329</v>
      </c>
      <c r="C30" s="4" t="s">
        <v>330</v>
      </c>
      <c r="D30" s="6" t="s">
        <v>331</v>
      </c>
      <c r="E30" s="6" t="s">
        <v>332</v>
      </c>
      <c r="F30" s="6" t="s">
        <v>331</v>
      </c>
      <c r="G30" s="6" t="s">
        <v>312</v>
      </c>
      <c r="H30" s="6" t="s">
        <v>333</v>
      </c>
      <c r="I30" s="6" t="s">
        <v>197</v>
      </c>
      <c r="J30" s="4" t="s">
        <v>334</v>
      </c>
      <c r="K30" s="4" t="s">
        <v>163</v>
      </c>
      <c r="L30" s="4" t="s">
        <v>335</v>
      </c>
    </row>
    <row r="31" spans="1:12">
      <c r="A31" s="19" t="s">
        <v>121</v>
      </c>
      <c r="B31" s="4" t="s">
        <v>336</v>
      </c>
      <c r="C31" s="4" t="s">
        <v>337</v>
      </c>
      <c r="D31" s="6" t="s">
        <v>221</v>
      </c>
      <c r="E31" s="6" t="s">
        <v>338</v>
      </c>
      <c r="F31" s="6" t="s">
        <v>266</v>
      </c>
      <c r="G31" s="6" t="s">
        <v>267</v>
      </c>
      <c r="H31" s="6" t="s">
        <v>196</v>
      </c>
      <c r="I31" s="6" t="s">
        <v>273</v>
      </c>
      <c r="J31" s="4" t="s">
        <v>339</v>
      </c>
      <c r="K31" s="4" t="s">
        <v>163</v>
      </c>
      <c r="L31" s="4" t="s">
        <v>340</v>
      </c>
    </row>
    <row r="32" spans="1:12">
      <c r="A32" s="19" t="s">
        <v>121</v>
      </c>
      <c r="B32" s="4" t="s">
        <v>341</v>
      </c>
      <c r="C32" s="4" t="s">
        <v>342</v>
      </c>
      <c r="D32" s="6" t="s">
        <v>221</v>
      </c>
      <c r="E32" s="6" t="s">
        <v>222</v>
      </c>
      <c r="F32" s="6" t="s">
        <v>266</v>
      </c>
      <c r="G32" s="6" t="s">
        <v>267</v>
      </c>
      <c r="H32" s="6" t="s">
        <v>196</v>
      </c>
      <c r="I32" s="6" t="s">
        <v>273</v>
      </c>
      <c r="J32" s="4" t="s">
        <v>343</v>
      </c>
      <c r="K32" s="4" t="s">
        <v>163</v>
      </c>
      <c r="L32" s="4" t="s">
        <v>344</v>
      </c>
    </row>
    <row r="33" spans="1:12">
      <c r="A33" s="19" t="s">
        <v>121</v>
      </c>
      <c r="B33" s="4" t="s">
        <v>236</v>
      </c>
      <c r="C33" s="4" t="s">
        <v>345</v>
      </c>
      <c r="D33" s="6" t="s">
        <v>238</v>
      </c>
      <c r="E33" s="6" t="s">
        <v>32</v>
      </c>
      <c r="F33" s="6" t="s">
        <v>32</v>
      </c>
      <c r="G33" s="6" t="s">
        <v>33</v>
      </c>
      <c r="H33" s="6" t="s">
        <v>239</v>
      </c>
      <c r="I33" s="6" t="s">
        <v>246</v>
      </c>
      <c r="J33" s="4" t="s">
        <v>346</v>
      </c>
      <c r="K33" s="4" t="s">
        <v>163</v>
      </c>
      <c r="L33" s="4" t="s">
        <v>347</v>
      </c>
    </row>
    <row r="34" spans="1:12">
      <c r="A34" s="19" t="s">
        <v>121</v>
      </c>
      <c r="B34" s="4" t="s">
        <v>348</v>
      </c>
      <c r="C34" s="4" t="s">
        <v>349</v>
      </c>
      <c r="D34" s="6" t="s">
        <v>210</v>
      </c>
      <c r="E34" s="6" t="s">
        <v>37</v>
      </c>
      <c r="F34" s="6" t="s">
        <v>33</v>
      </c>
      <c r="G34" s="6" t="s">
        <v>47</v>
      </c>
      <c r="H34" s="6" t="s">
        <v>272</v>
      </c>
      <c r="I34" s="6" t="s">
        <v>246</v>
      </c>
      <c r="J34" s="4" t="s">
        <v>350</v>
      </c>
      <c r="K34" s="4" t="s">
        <v>163</v>
      </c>
      <c r="L34" s="4" t="s">
        <v>351</v>
      </c>
    </row>
    <row r="35" spans="1:12">
      <c r="A35" s="19" t="s">
        <v>121</v>
      </c>
      <c r="B35" s="4" t="s">
        <v>352</v>
      </c>
      <c r="C35" s="4" t="s">
        <v>126</v>
      </c>
      <c r="D35" s="6" t="s">
        <v>159</v>
      </c>
      <c r="E35" s="6" t="s">
        <v>47</v>
      </c>
      <c r="F35" s="6" t="s">
        <v>47</v>
      </c>
      <c r="G35" s="6" t="s">
        <v>47</v>
      </c>
      <c r="H35" s="6" t="s">
        <v>160</v>
      </c>
      <c r="I35" s="6" t="s">
        <v>161</v>
      </c>
      <c r="J35" s="4" t="s">
        <v>353</v>
      </c>
      <c r="K35" s="4" t="s">
        <v>354</v>
      </c>
      <c r="L35" s="4" t="s">
        <v>355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356</v>
      </c>
      <c r="B1" s="1"/>
      <c r="C1" s="1"/>
      <c r="D1" s="1"/>
      <c r="E1" s="1"/>
      <c r="F1" s="1"/>
      <c r="G1" s="1"/>
      <c r="H1" s="1"/>
    </row>
    <row r="2" spans="1:11">
      <c r="A2" s="12" t="s">
        <v>357</v>
      </c>
      <c r="B2" s="12"/>
      <c r="C2" s="12"/>
      <c r="D2" s="12"/>
      <c r="E2" s="12"/>
      <c r="F2" s="12"/>
      <c r="G2" s="12"/>
      <c r="H2" s="12"/>
    </row>
    <row r="3" spans="1:11">
      <c r="A3" t="s">
        <v>358</v>
      </c>
      <c r="B3" t="s">
        <v>359</v>
      </c>
      <c r="C3" t="s">
        <v>360</v>
      </c>
      <c r="D3" t="s">
        <v>361</v>
      </c>
      <c r="E3" t="s">
        <v>362</v>
      </c>
      <c r="F3" t="s">
        <v>363</v>
      </c>
      <c r="G3" t="s">
        <v>364</v>
      </c>
      <c r="H3" t="s">
        <v>365</v>
      </c>
      <c r="K3" s="7" t="s">
        <v>518</v>
      </c>
    </row>
    <row r="4" spans="1:11">
      <c r="A4" t="s">
        <v>366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371</v>
      </c>
      <c r="H4" t="s">
        <v>371</v>
      </c>
      <c r="K4" s="6" t="s">
        <v>92</v>
      </c>
    </row>
    <row r="5" spans="1:11">
      <c r="A5" t="s">
        <v>372</v>
      </c>
      <c r="B5" t="s">
        <v>373</v>
      </c>
      <c r="C5" t="s">
        <v>374</v>
      </c>
      <c r="D5" t="s">
        <v>375</v>
      </c>
      <c r="E5" t="s">
        <v>376</v>
      </c>
      <c r="F5" t="s">
        <v>371</v>
      </c>
      <c r="G5" t="s">
        <v>377</v>
      </c>
      <c r="H5" t="s">
        <v>377</v>
      </c>
      <c r="K5" s="6" t="s">
        <v>100</v>
      </c>
    </row>
    <row r="6" spans="1:11">
      <c r="A6" t="s">
        <v>378</v>
      </c>
      <c r="B6" t="s">
        <v>379</v>
      </c>
      <c r="C6" t="s">
        <v>380</v>
      </c>
      <c r="D6" t="s">
        <v>375</v>
      </c>
      <c r="E6" t="s">
        <v>376</v>
      </c>
      <c r="F6" t="s">
        <v>371</v>
      </c>
      <c r="G6" t="s">
        <v>377</v>
      </c>
      <c r="H6" t="s">
        <v>377</v>
      </c>
      <c r="K6" s="6" t="s">
        <v>107</v>
      </c>
    </row>
    <row r="7" spans="1:11">
      <c r="A7" t="s">
        <v>381</v>
      </c>
      <c r="B7" t="s">
        <v>382</v>
      </c>
      <c r="C7" t="s">
        <v>383</v>
      </c>
      <c r="D7" t="s">
        <v>375</v>
      </c>
      <c r="E7" t="s">
        <v>376</v>
      </c>
      <c r="F7" t="s">
        <v>371</v>
      </c>
      <c r="G7" t="s">
        <v>377</v>
      </c>
      <c r="H7" t="s">
        <v>371</v>
      </c>
      <c r="K7" s="6" t="s">
        <v>114</v>
      </c>
    </row>
    <row r="8" spans="1:11">
      <c r="A8" t="s">
        <v>384</v>
      </c>
      <c r="B8" t="s">
        <v>385</v>
      </c>
      <c r="C8" t="s">
        <v>386</v>
      </c>
      <c r="D8" t="s">
        <v>387</v>
      </c>
      <c r="E8" t="s">
        <v>388</v>
      </c>
      <c r="F8" t="s">
        <v>371</v>
      </c>
      <c r="G8" t="s">
        <v>377</v>
      </c>
      <c r="H8" t="s">
        <v>377</v>
      </c>
      <c r="K8" s="6" t="s">
        <v>121</v>
      </c>
    </row>
    <row r="9" spans="1:11">
      <c r="A9" t="s">
        <v>389</v>
      </c>
      <c r="B9" t="s">
        <v>390</v>
      </c>
      <c r="C9" t="s">
        <v>391</v>
      </c>
      <c r="D9" t="s">
        <v>387</v>
      </c>
      <c r="E9" t="s">
        <v>388</v>
      </c>
      <c r="F9" t="s">
        <v>371</v>
      </c>
      <c r="G9" t="s">
        <v>377</v>
      </c>
      <c r="H9" t="s">
        <v>377</v>
      </c>
      <c r="K9" s="6" t="s">
        <v>153</v>
      </c>
    </row>
    <row r="10" spans="1:11">
      <c r="A10" t="s">
        <v>392</v>
      </c>
      <c r="B10" t="s">
        <v>393</v>
      </c>
      <c r="C10" t="s">
        <v>394</v>
      </c>
      <c r="D10" t="s">
        <v>193</v>
      </c>
      <c r="E10" t="s">
        <v>395</v>
      </c>
      <c r="F10" t="s">
        <v>371</v>
      </c>
      <c r="G10" t="s">
        <v>371</v>
      </c>
      <c r="H10" t="s">
        <v>371</v>
      </c>
    </row>
    <row r="11" spans="1:11">
      <c r="A11" t="s">
        <v>396</v>
      </c>
      <c r="B11" t="s">
        <v>397</v>
      </c>
      <c r="C11" t="s">
        <v>398</v>
      </c>
      <c r="D11" t="s">
        <v>193</v>
      </c>
      <c r="E11" t="s">
        <v>399</v>
      </c>
      <c r="F11" t="s">
        <v>371</v>
      </c>
      <c r="G11" t="s">
        <v>377</v>
      </c>
      <c r="H11" t="s">
        <v>371</v>
      </c>
    </row>
    <row r="12" spans="1:11">
      <c r="A12" t="s">
        <v>400</v>
      </c>
      <c r="B12" t="s">
        <v>401</v>
      </c>
      <c r="C12" t="s">
        <v>402</v>
      </c>
      <c r="D12" t="s">
        <v>193</v>
      </c>
      <c r="E12" t="s">
        <v>399</v>
      </c>
      <c r="F12" t="s">
        <v>371</v>
      </c>
      <c r="G12" t="s">
        <v>377</v>
      </c>
      <c r="H12" t="s">
        <v>371</v>
      </c>
    </row>
    <row r="13" spans="1:11">
      <c r="A13" t="s">
        <v>403</v>
      </c>
      <c r="B13" t="s">
        <v>404</v>
      </c>
      <c r="C13" t="s">
        <v>201</v>
      </c>
      <c r="D13" t="s">
        <v>405</v>
      </c>
      <c r="E13" t="s">
        <v>406</v>
      </c>
      <c r="F13" t="s">
        <v>377</v>
      </c>
      <c r="G13" t="s">
        <v>371</v>
      </c>
      <c r="H13" t="s">
        <v>371</v>
      </c>
    </row>
    <row r="14" spans="1:11">
      <c r="A14" t="s">
        <v>407</v>
      </c>
      <c r="B14" t="s">
        <v>408</v>
      </c>
      <c r="C14" t="s">
        <v>409</v>
      </c>
      <c r="D14" t="s">
        <v>405</v>
      </c>
      <c r="E14" t="s">
        <v>406</v>
      </c>
      <c r="F14" t="s">
        <v>377</v>
      </c>
      <c r="G14" t="s">
        <v>371</v>
      </c>
      <c r="H14" t="s">
        <v>371</v>
      </c>
    </row>
    <row r="15" spans="1:11">
      <c r="A15" t="s">
        <v>410</v>
      </c>
      <c r="B15" t="s">
        <v>411</v>
      </c>
      <c r="C15" t="s">
        <v>412</v>
      </c>
      <c r="D15" t="s">
        <v>405</v>
      </c>
      <c r="E15" t="s">
        <v>406</v>
      </c>
      <c r="F15" t="s">
        <v>377</v>
      </c>
      <c r="G15" t="s">
        <v>371</v>
      </c>
      <c r="H15" t="s">
        <v>371</v>
      </c>
    </row>
    <row r="16" spans="1:11">
      <c r="A16" t="s">
        <v>413</v>
      </c>
      <c r="B16" t="s">
        <v>414</v>
      </c>
      <c r="C16" t="s">
        <v>415</v>
      </c>
      <c r="D16" t="s">
        <v>405</v>
      </c>
      <c r="E16" t="s">
        <v>416</v>
      </c>
      <c r="F16" t="s">
        <v>377</v>
      </c>
      <c r="G16" t="s">
        <v>371</v>
      </c>
      <c r="H16" t="s">
        <v>371</v>
      </c>
    </row>
    <row r="17" spans="1:8">
      <c r="A17" t="s">
        <v>417</v>
      </c>
      <c r="B17" t="s">
        <v>418</v>
      </c>
      <c r="C17" t="s">
        <v>419</v>
      </c>
      <c r="D17" t="s">
        <v>405</v>
      </c>
      <c r="E17" t="s">
        <v>420</v>
      </c>
      <c r="F17" t="s">
        <v>377</v>
      </c>
      <c r="G17" t="s">
        <v>371</v>
      </c>
      <c r="H17" t="s">
        <v>371</v>
      </c>
    </row>
    <row r="18" spans="1:8">
      <c r="A18" t="s">
        <v>421</v>
      </c>
      <c r="B18" t="s">
        <v>422</v>
      </c>
      <c r="C18" t="s">
        <v>423</v>
      </c>
      <c r="D18" t="s">
        <v>405</v>
      </c>
      <c r="E18" t="s">
        <v>420</v>
      </c>
      <c r="F18" t="s">
        <v>377</v>
      </c>
      <c r="G18" t="s">
        <v>371</v>
      </c>
      <c r="H18" t="s">
        <v>377</v>
      </c>
    </row>
    <row r="19" spans="1:8">
      <c r="A19" t="s">
        <v>424</v>
      </c>
      <c r="B19" t="s">
        <v>425</v>
      </c>
      <c r="C19" t="s">
        <v>426</v>
      </c>
      <c r="D19" t="s">
        <v>405</v>
      </c>
      <c r="E19" t="s">
        <v>427</v>
      </c>
      <c r="F19" t="s">
        <v>377</v>
      </c>
      <c r="G19" t="s">
        <v>371</v>
      </c>
      <c r="H19" t="s">
        <v>371</v>
      </c>
    </row>
    <row r="20" spans="1:8">
      <c r="A20" t="s">
        <v>428</v>
      </c>
      <c r="B20" t="s">
        <v>429</v>
      </c>
      <c r="C20" t="s">
        <v>430</v>
      </c>
      <c r="D20" t="s">
        <v>405</v>
      </c>
      <c r="E20" t="s">
        <v>431</v>
      </c>
      <c r="F20" t="s">
        <v>377</v>
      </c>
      <c r="G20" t="s">
        <v>371</v>
      </c>
      <c r="H20" t="s">
        <v>371</v>
      </c>
    </row>
    <row r="21" spans="1:8">
      <c r="A21" t="s">
        <v>432</v>
      </c>
      <c r="B21" t="s">
        <v>433</v>
      </c>
      <c r="C21" t="s">
        <v>434</v>
      </c>
      <c r="D21" t="s">
        <v>435</v>
      </c>
      <c r="E21" t="s">
        <v>436</v>
      </c>
      <c r="F21" t="s">
        <v>371</v>
      </c>
      <c r="G21" t="s">
        <v>371</v>
      </c>
      <c r="H21" t="s">
        <v>371</v>
      </c>
    </row>
    <row r="22" spans="1:8">
      <c r="A22" t="s">
        <v>437</v>
      </c>
      <c r="B22" t="s">
        <v>438</v>
      </c>
      <c r="C22" t="s">
        <v>439</v>
      </c>
      <c r="D22" t="s">
        <v>435</v>
      </c>
      <c r="E22" t="s">
        <v>440</v>
      </c>
      <c r="F22" t="s">
        <v>377</v>
      </c>
      <c r="G22" t="s">
        <v>371</v>
      </c>
      <c r="H22" t="s">
        <v>377</v>
      </c>
    </row>
    <row r="23" spans="1:8">
      <c r="A23" t="s">
        <v>441</v>
      </c>
      <c r="B23" t="s">
        <v>442</v>
      </c>
      <c r="C23" t="s">
        <v>443</v>
      </c>
      <c r="D23" t="s">
        <v>444</v>
      </c>
      <c r="E23" t="s">
        <v>445</v>
      </c>
      <c r="F23" t="s">
        <v>377</v>
      </c>
      <c r="G23" t="s">
        <v>371</v>
      </c>
      <c r="H23" t="s">
        <v>371</v>
      </c>
    </row>
    <row r="24" spans="1:8">
      <c r="A24" t="s">
        <v>446</v>
      </c>
      <c r="B24" t="s">
        <v>447</v>
      </c>
      <c r="C24" t="s">
        <v>448</v>
      </c>
      <c r="D24" t="s">
        <v>444</v>
      </c>
      <c r="E24" t="s">
        <v>236</v>
      </c>
      <c r="F24" t="s">
        <v>377</v>
      </c>
      <c r="G24" t="s">
        <v>371</v>
      </c>
      <c r="H24" t="s">
        <v>371</v>
      </c>
    </row>
    <row r="25" spans="1:8">
      <c r="A25" t="s">
        <v>449</v>
      </c>
      <c r="B25" t="s">
        <v>450</v>
      </c>
      <c r="C25" t="s">
        <v>451</v>
      </c>
      <c r="D25" t="s">
        <v>444</v>
      </c>
      <c r="E25" t="s">
        <v>452</v>
      </c>
      <c r="F25" t="s">
        <v>377</v>
      </c>
      <c r="G25" t="s">
        <v>371</v>
      </c>
      <c r="H25" t="s">
        <v>371</v>
      </c>
    </row>
    <row r="26" spans="1:8">
      <c r="A26" t="s">
        <v>453</v>
      </c>
      <c r="B26" t="s">
        <v>454</v>
      </c>
      <c r="C26" t="s">
        <v>455</v>
      </c>
      <c r="D26" t="s">
        <v>444</v>
      </c>
      <c r="E26" t="s">
        <v>452</v>
      </c>
      <c r="F26" t="s">
        <v>371</v>
      </c>
      <c r="G26" t="s">
        <v>371</v>
      </c>
      <c r="H26" t="s">
        <v>371</v>
      </c>
    </row>
    <row r="27" spans="1:8">
      <c r="A27" t="s">
        <v>456</v>
      </c>
      <c r="B27" t="s">
        <v>457</v>
      </c>
      <c r="C27" t="s">
        <v>458</v>
      </c>
      <c r="D27" t="s">
        <v>444</v>
      </c>
      <c r="E27" t="s">
        <v>459</v>
      </c>
      <c r="F27" t="s">
        <v>377</v>
      </c>
      <c r="G27" t="s">
        <v>371</v>
      </c>
      <c r="H27" t="s">
        <v>371</v>
      </c>
    </row>
    <row r="28" spans="1:8">
      <c r="A28" t="s">
        <v>460</v>
      </c>
      <c r="B28" t="s">
        <v>461</v>
      </c>
      <c r="C28" t="s">
        <v>462</v>
      </c>
      <c r="D28" t="s">
        <v>444</v>
      </c>
      <c r="E28" t="s">
        <v>463</v>
      </c>
      <c r="F28" t="s">
        <v>377</v>
      </c>
      <c r="G28" t="s">
        <v>371</v>
      </c>
      <c r="H28" t="s">
        <v>371</v>
      </c>
    </row>
    <row r="29" spans="1:8">
      <c r="A29" t="s">
        <v>464</v>
      </c>
      <c r="B29" t="s">
        <v>465</v>
      </c>
      <c r="C29" t="s">
        <v>466</v>
      </c>
      <c r="D29" t="s">
        <v>405</v>
      </c>
      <c r="E29" t="s">
        <v>467</v>
      </c>
      <c r="F29" t="s">
        <v>377</v>
      </c>
      <c r="G29" t="s">
        <v>371</v>
      </c>
      <c r="H29" t="s">
        <v>371</v>
      </c>
    </row>
    <row r="30" spans="1:8">
      <c r="A30" t="s">
        <v>468</v>
      </c>
      <c r="B30" t="s">
        <v>469</v>
      </c>
      <c r="C30" t="s">
        <v>258</v>
      </c>
      <c r="D30" t="s">
        <v>470</v>
      </c>
      <c r="E30" t="s">
        <v>263</v>
      </c>
      <c r="F30" t="s">
        <v>377</v>
      </c>
      <c r="G30" t="s">
        <v>371</v>
      </c>
      <c r="H30" t="s">
        <v>377</v>
      </c>
    </row>
    <row r="31" spans="1:8">
      <c r="A31" t="s">
        <v>471</v>
      </c>
      <c r="B31" t="s">
        <v>472</v>
      </c>
      <c r="C31" t="s">
        <v>265</v>
      </c>
      <c r="D31" t="s">
        <v>470</v>
      </c>
      <c r="E31" t="s">
        <v>263</v>
      </c>
      <c r="F31" t="s">
        <v>377</v>
      </c>
      <c r="G31" t="s">
        <v>371</v>
      </c>
      <c r="H31" t="s">
        <v>371</v>
      </c>
    </row>
    <row r="32" spans="1:8">
      <c r="A32" t="s">
        <v>473</v>
      </c>
      <c r="B32" t="s">
        <v>474</v>
      </c>
      <c r="C32" t="s">
        <v>475</v>
      </c>
      <c r="D32" t="s">
        <v>470</v>
      </c>
      <c r="E32" t="s">
        <v>476</v>
      </c>
      <c r="F32" t="s">
        <v>377</v>
      </c>
      <c r="G32" t="s">
        <v>371</v>
      </c>
      <c r="H32" t="s">
        <v>371</v>
      </c>
    </row>
    <row r="33" spans="1:8">
      <c r="A33" t="s">
        <v>477</v>
      </c>
      <c r="B33" t="s">
        <v>478</v>
      </c>
      <c r="C33" t="s">
        <v>479</v>
      </c>
      <c r="D33" t="s">
        <v>470</v>
      </c>
      <c r="E33" t="s">
        <v>480</v>
      </c>
      <c r="F33" t="s">
        <v>377</v>
      </c>
      <c r="G33" t="s">
        <v>371</v>
      </c>
      <c r="H33" t="s">
        <v>371</v>
      </c>
    </row>
    <row r="34" spans="1:8">
      <c r="A34" t="s">
        <v>481</v>
      </c>
      <c r="B34" t="s">
        <v>482</v>
      </c>
      <c r="C34" t="s">
        <v>483</v>
      </c>
      <c r="D34" t="s">
        <v>470</v>
      </c>
      <c r="E34" t="s">
        <v>484</v>
      </c>
      <c r="F34" t="s">
        <v>371</v>
      </c>
      <c r="G34" t="s">
        <v>377</v>
      </c>
      <c r="H34" t="s">
        <v>371</v>
      </c>
    </row>
    <row r="35" spans="1:8">
      <c r="A35" t="s">
        <v>485</v>
      </c>
      <c r="B35" t="s">
        <v>486</v>
      </c>
      <c r="C35" t="s">
        <v>278</v>
      </c>
      <c r="D35" t="s">
        <v>470</v>
      </c>
      <c r="E35" t="s">
        <v>280</v>
      </c>
      <c r="F35" t="s">
        <v>377</v>
      </c>
      <c r="G35" t="s">
        <v>371</v>
      </c>
      <c r="H35" t="s">
        <v>371</v>
      </c>
    </row>
    <row r="36" spans="1:8">
      <c r="A36" t="s">
        <v>487</v>
      </c>
      <c r="B36" t="s">
        <v>488</v>
      </c>
      <c r="C36" t="s">
        <v>489</v>
      </c>
      <c r="D36" t="s">
        <v>470</v>
      </c>
      <c r="E36" t="s">
        <v>484</v>
      </c>
      <c r="F36" t="s">
        <v>377</v>
      </c>
      <c r="G36" t="s">
        <v>371</v>
      </c>
      <c r="H36" t="s">
        <v>371</v>
      </c>
    </row>
    <row r="37" spans="1:8">
      <c r="A37" t="s">
        <v>490</v>
      </c>
      <c r="B37" t="s">
        <v>491</v>
      </c>
      <c r="C37" t="s">
        <v>492</v>
      </c>
      <c r="D37" t="s">
        <v>242</v>
      </c>
      <c r="E37" t="s">
        <v>493</v>
      </c>
      <c r="F37" t="s">
        <v>377</v>
      </c>
      <c r="G37" t="s">
        <v>371</v>
      </c>
      <c r="H37" t="s">
        <v>377</v>
      </c>
    </row>
    <row r="38" spans="1:8">
      <c r="A38" t="s">
        <v>494</v>
      </c>
      <c r="B38" t="s">
        <v>495</v>
      </c>
      <c r="C38" t="s">
        <v>496</v>
      </c>
      <c r="D38" t="s">
        <v>242</v>
      </c>
      <c r="E38" t="s">
        <v>497</v>
      </c>
      <c r="F38" t="s">
        <v>371</v>
      </c>
      <c r="G38" t="s">
        <v>371</v>
      </c>
      <c r="H38" t="s">
        <v>371</v>
      </c>
    </row>
    <row r="39" spans="1:8">
      <c r="A39" t="s">
        <v>498</v>
      </c>
      <c r="B39" t="s">
        <v>499</v>
      </c>
      <c r="C39" t="s">
        <v>500</v>
      </c>
      <c r="D39" t="s">
        <v>242</v>
      </c>
      <c r="E39" t="s">
        <v>501</v>
      </c>
      <c r="F39" t="s">
        <v>371</v>
      </c>
      <c r="G39" t="s">
        <v>377</v>
      </c>
      <c r="H39" t="s">
        <v>377</v>
      </c>
    </row>
    <row r="40" spans="1:8">
      <c r="A40" t="s">
        <v>502</v>
      </c>
      <c r="B40" t="s">
        <v>503</v>
      </c>
      <c r="C40" t="s">
        <v>504</v>
      </c>
      <c r="D40" t="s">
        <v>242</v>
      </c>
      <c r="E40" t="s">
        <v>505</v>
      </c>
      <c r="F40" t="s">
        <v>371</v>
      </c>
      <c r="G40" t="s">
        <v>377</v>
      </c>
      <c r="H40" t="s">
        <v>371</v>
      </c>
    </row>
    <row r="41" spans="1:8">
      <c r="A41" t="s">
        <v>506</v>
      </c>
      <c r="B41" t="s">
        <v>507</v>
      </c>
      <c r="C41" t="s">
        <v>508</v>
      </c>
      <c r="D41" t="s">
        <v>435</v>
      </c>
      <c r="E41" t="s">
        <v>509</v>
      </c>
      <c r="F41" t="s">
        <v>371</v>
      </c>
      <c r="G41" t="s">
        <v>377</v>
      </c>
      <c r="H41" t="s">
        <v>371</v>
      </c>
    </row>
    <row r="42" spans="1:8">
      <c r="A42" t="s">
        <v>510</v>
      </c>
      <c r="B42" t="s">
        <v>511</v>
      </c>
      <c r="C42" t="s">
        <v>512</v>
      </c>
      <c r="D42" t="s">
        <v>513</v>
      </c>
      <c r="E42" t="s">
        <v>514</v>
      </c>
      <c r="F42" t="s">
        <v>371</v>
      </c>
      <c r="G42" t="s">
        <v>371</v>
      </c>
      <c r="H42" t="s">
        <v>371</v>
      </c>
    </row>
    <row r="43" spans="1:8">
      <c r="A43" t="s">
        <v>515</v>
      </c>
      <c r="B43" t="s">
        <v>516</v>
      </c>
      <c r="C43" t="s">
        <v>517</v>
      </c>
      <c r="D43" t="s">
        <v>513</v>
      </c>
      <c r="E43" t="s">
        <v>514</v>
      </c>
      <c r="F43" t="s">
        <v>377</v>
      </c>
      <c r="G43" t="s">
        <v>371</v>
      </c>
      <c r="H43" t="s">
        <v>371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t="s">
        <v>519</v>
      </c>
      <c r="B1" t="s">
        <v>520</v>
      </c>
      <c r="C1" t="s">
        <v>521</v>
      </c>
      <c r="D1" t="s">
        <v>358</v>
      </c>
      <c r="E1" t="s">
        <v>361</v>
      </c>
      <c r="F1" t="s">
        <v>522</v>
      </c>
      <c r="G1" t="s">
        <v>523</v>
      </c>
      <c r="H1" t="s">
        <v>524</v>
      </c>
      <c r="I1" t="s">
        <v>525</v>
      </c>
      <c r="J1" t="s">
        <v>526</v>
      </c>
      <c r="K1" t="s">
        <v>527</v>
      </c>
      <c r="L1" t="s">
        <v>528</v>
      </c>
      <c r="M1" t="s">
        <v>529</v>
      </c>
      <c r="N1" t="s">
        <v>530</v>
      </c>
      <c r="O1" t="s">
        <v>90</v>
      </c>
      <c r="P1" t="s">
        <v>531</v>
      </c>
    </row>
    <row r="2" spans="1:16">
      <c r="A2" s="20">
        <v>46181</v>
      </c>
      <c r="B2" t="s">
        <v>92</v>
      </c>
      <c r="C2">
        <v>1</v>
      </c>
      <c r="D2" t="s">
        <v>366</v>
      </c>
      <c r="E2">
        <f>IFERROR(INDEX(B6_Exercise_Library!$D$4:$D$43,MATCH([[#This Row],ExerciseID],B6_Exercise_Library!$A$4:$A$43,0)),"")</f>
        <v>0</v>
      </c>
      <c r="F2" t="s">
        <v>532</v>
      </c>
      <c r="G2">
        <v>5</v>
      </c>
      <c r="H2" t="s">
        <v>47</v>
      </c>
      <c r="I2">
        <v>0</v>
      </c>
      <c r="J2">
        <v>8.5</v>
      </c>
      <c r="K2">
        <v>1</v>
      </c>
      <c r="N2">
        <v>5</v>
      </c>
      <c r="O2" t="s">
        <v>533</v>
      </c>
      <c r="P2">
        <f>[[#This Row],DayType]&amp;"_W"&amp;[[#This Row],Week]</f>
        <v>0</v>
      </c>
    </row>
    <row r="3" spans="1:16">
      <c r="A3" s="20">
        <v>46181</v>
      </c>
      <c r="B3" t="s">
        <v>121</v>
      </c>
      <c r="C3">
        <v>1</v>
      </c>
      <c r="D3" t="s">
        <v>372</v>
      </c>
      <c r="E3">
        <f>IFERROR(INDEX(B6_Exercise_Library!$D$4:$D$43,MATCH([[#This Row],ExerciseID],B6_Exercise_Library!$A$4:$A$43,0)),"")</f>
        <v>0</v>
      </c>
      <c r="F3" t="s">
        <v>534</v>
      </c>
      <c r="G3">
        <v>3</v>
      </c>
      <c r="L3">
        <v>4</v>
      </c>
      <c r="O3" t="s">
        <v>535</v>
      </c>
      <c r="P3">
        <f>[[#This Row],DayType]&amp;"_W"&amp;[[#This Row],Week]</f>
        <v>0</v>
      </c>
    </row>
    <row r="4" spans="1:16">
      <c r="A4" s="20">
        <v>46181</v>
      </c>
      <c r="B4" t="s">
        <v>121</v>
      </c>
      <c r="C4">
        <v>1</v>
      </c>
      <c r="D4" t="s">
        <v>372</v>
      </c>
      <c r="E4">
        <f>IFERROR(INDEX(B6_Exercise_Library!$D$4:$D$43,MATCH([[#This Row],ExerciseID],B6_Exercise_Library!$A$4:$A$43,0)),"")</f>
        <v>0</v>
      </c>
      <c r="F4" t="s">
        <v>536</v>
      </c>
      <c r="L4">
        <v>3</v>
      </c>
      <c r="O4" t="s">
        <v>537</v>
      </c>
      <c r="P4">
        <f>[[#This Row],DayType]&amp;"_W"&amp;[[#This Row],Week]</f>
        <v>0</v>
      </c>
    </row>
    <row r="5" spans="1:16">
      <c r="A5" s="20">
        <v>46181</v>
      </c>
      <c r="B5" t="s">
        <v>121</v>
      </c>
      <c r="C5">
        <v>1</v>
      </c>
      <c r="D5" t="s">
        <v>449</v>
      </c>
      <c r="E5">
        <f>IFERROR(INDEX(B6_Exercise_Library!$D$4:$D$43,MATCH([[#This Row],ExerciseID],B6_Exercise_Library!$A$4:$A$43,0)),"")</f>
        <v>0</v>
      </c>
      <c r="F5" t="s">
        <v>532</v>
      </c>
      <c r="G5">
        <v>3</v>
      </c>
      <c r="H5" t="s">
        <v>538</v>
      </c>
      <c r="I5">
        <v>0</v>
      </c>
      <c r="P5">
        <f>[[#This Row],DayType]&amp;"_W"&amp;[[#This Row],Week]</f>
        <v>0</v>
      </c>
    </row>
    <row r="6" spans="1:16">
      <c r="A6" s="20">
        <v>46181</v>
      </c>
      <c r="B6" t="s">
        <v>121</v>
      </c>
      <c r="C6">
        <v>1</v>
      </c>
      <c r="D6" t="s">
        <v>413</v>
      </c>
      <c r="E6">
        <f>IFERROR(INDEX(B6_Exercise_Library!$D$4:$D$43,MATCH([[#This Row],ExerciseID],B6_Exercise_Library!$A$4:$A$43,0)),"")</f>
        <v>0</v>
      </c>
      <c r="F6" t="s">
        <v>532</v>
      </c>
      <c r="G6">
        <v>2</v>
      </c>
      <c r="H6" t="s">
        <v>538</v>
      </c>
      <c r="I6">
        <v>65</v>
      </c>
      <c r="P6">
        <f>[[#This Row],DayType]&amp;"_W"&amp;[[#This Row],Week]</f>
        <v>0</v>
      </c>
    </row>
    <row r="7" spans="1:16">
      <c r="A7" s="20">
        <v>46181</v>
      </c>
      <c r="B7" t="s">
        <v>121</v>
      </c>
      <c r="C7">
        <v>1</v>
      </c>
      <c r="D7" t="s">
        <v>417</v>
      </c>
      <c r="E7">
        <f>IFERROR(INDEX(B6_Exercise_Library!$D$4:$D$43,MATCH([[#This Row],ExerciseID],B6_Exercise_Library!$A$4:$A$43,0)),"")</f>
        <v>0</v>
      </c>
      <c r="F7" t="s">
        <v>532</v>
      </c>
      <c r="G7">
        <v>2</v>
      </c>
      <c r="H7" t="s">
        <v>538</v>
      </c>
      <c r="I7">
        <v>75</v>
      </c>
      <c r="O7" t="s">
        <v>539</v>
      </c>
      <c r="P7">
        <f>[[#This Row],DayType]&amp;"_W"&amp;[[#This Row],Week]</f>
        <v>0</v>
      </c>
    </row>
    <row r="8" spans="1:16">
      <c r="A8" s="20">
        <v>46181</v>
      </c>
      <c r="B8" t="s">
        <v>121</v>
      </c>
      <c r="C8">
        <v>1</v>
      </c>
      <c r="D8" t="s">
        <v>456</v>
      </c>
      <c r="E8">
        <f>IFERROR(INDEX(B6_Exercise_Library!$D$4:$D$43,MATCH([[#This Row],ExerciseID],B6_Exercise_Library!$A$4:$A$43,0)),"")</f>
        <v>0</v>
      </c>
      <c r="F8" t="s">
        <v>532</v>
      </c>
      <c r="G8">
        <v>3</v>
      </c>
      <c r="H8" t="s">
        <v>540</v>
      </c>
      <c r="I8">
        <v>8</v>
      </c>
      <c r="O8" t="s">
        <v>541</v>
      </c>
      <c r="P8">
        <f>[[#This Row],DayType]&amp;"_W"&amp;[[#This Row],Week]</f>
        <v>0</v>
      </c>
    </row>
    <row r="9" spans="1:16">
      <c r="A9" s="20">
        <v>46181</v>
      </c>
      <c r="B9" t="s">
        <v>121</v>
      </c>
      <c r="C9">
        <v>1</v>
      </c>
      <c r="D9" t="s">
        <v>424</v>
      </c>
      <c r="E9">
        <f>IFERROR(INDEX(B6_Exercise_Library!$D$4:$D$43,MATCH([[#This Row],ExerciseID],B6_Exercise_Library!$A$4:$A$43,0)),"")</f>
        <v>0</v>
      </c>
      <c r="F9" t="s">
        <v>532</v>
      </c>
      <c r="G9">
        <v>3</v>
      </c>
      <c r="H9" t="s">
        <v>540</v>
      </c>
      <c r="I9">
        <v>25</v>
      </c>
      <c r="O9" t="s">
        <v>542</v>
      </c>
      <c r="P9">
        <f>[[#This Row],DayType]&amp;"_W"&amp;[[#This Row],Week]</f>
        <v>0</v>
      </c>
    </row>
    <row r="10" spans="1:16">
      <c r="A10" s="20">
        <v>46181</v>
      </c>
      <c r="B10" t="s">
        <v>121</v>
      </c>
      <c r="C10">
        <v>1</v>
      </c>
      <c r="D10" t="s">
        <v>432</v>
      </c>
      <c r="E10">
        <f>IFERROR(INDEX(B6_Exercise_Library!$D$4:$D$43,MATCH([[#This Row],ExerciseID],B6_Exercise_Library!$A$4:$A$43,0)),"")</f>
        <v>0</v>
      </c>
      <c r="F10" t="s">
        <v>532</v>
      </c>
      <c r="G10">
        <v>3</v>
      </c>
      <c r="H10" t="s">
        <v>540</v>
      </c>
      <c r="I10">
        <v>1</v>
      </c>
      <c r="O10" t="s">
        <v>543</v>
      </c>
      <c r="P10">
        <f>[[#This Row],DayType]&amp;"_W"&amp;[[#This Row],Week]</f>
        <v>0</v>
      </c>
    </row>
    <row r="11" spans="1:16">
      <c r="A11" s="20">
        <v>46181</v>
      </c>
      <c r="B11" t="s">
        <v>121</v>
      </c>
      <c r="C11">
        <v>1</v>
      </c>
      <c r="D11" t="s">
        <v>460</v>
      </c>
      <c r="E11">
        <f>IFERROR(INDEX(B6_Exercise_Library!$D$4:$D$43,MATCH([[#This Row],ExerciseID],B6_Exercise_Library!$A$4:$A$43,0)),"")</f>
        <v>0</v>
      </c>
      <c r="F11" t="s">
        <v>532</v>
      </c>
      <c r="G11">
        <v>3</v>
      </c>
      <c r="H11" t="s">
        <v>540</v>
      </c>
      <c r="I11">
        <v>16.5</v>
      </c>
      <c r="O11" t="s">
        <v>544</v>
      </c>
      <c r="P11">
        <f>[[#This Row],DayType]&amp;"_W"&amp;[[#This Row],Week]</f>
        <v>0</v>
      </c>
    </row>
    <row r="12" spans="1:16">
      <c r="A12" s="20">
        <v>46181</v>
      </c>
      <c r="B12" t="s">
        <v>121</v>
      </c>
      <c r="C12">
        <v>1</v>
      </c>
      <c r="D12" t="s">
        <v>464</v>
      </c>
      <c r="E12">
        <f>IFERROR(INDEX(B6_Exercise_Library!$D$4:$D$43,MATCH([[#This Row],ExerciseID],B6_Exercise_Library!$A$4:$A$43,0)),"")</f>
        <v>0</v>
      </c>
      <c r="F12" t="s">
        <v>532</v>
      </c>
      <c r="G12">
        <v>3</v>
      </c>
      <c r="H12" t="s">
        <v>538</v>
      </c>
      <c r="I12">
        <v>23.5</v>
      </c>
      <c r="O12" t="s">
        <v>544</v>
      </c>
      <c r="P12">
        <f>[[#This Row],DayType]&amp;"_W"&amp;[[#This Row],Week]</f>
        <v>0</v>
      </c>
    </row>
    <row r="13" spans="1:16">
      <c r="A13" s="20">
        <v>46183</v>
      </c>
      <c r="B13" t="s">
        <v>92</v>
      </c>
      <c r="C13">
        <v>1</v>
      </c>
      <c r="D13" t="s">
        <v>372</v>
      </c>
      <c r="E13">
        <f>IFERROR(INDEX(B6_Exercise_Library!$D$4:$D$43,MATCH([[#This Row],ExerciseID],B6_Exercise_Library!$A$4:$A$43,0)),"")</f>
        <v>0</v>
      </c>
      <c r="F13" t="s">
        <v>534</v>
      </c>
      <c r="G13">
        <v>2</v>
      </c>
      <c r="I13">
        <v>0</v>
      </c>
      <c r="J13">
        <v>8</v>
      </c>
      <c r="K13">
        <v>1</v>
      </c>
      <c r="L13">
        <v>5</v>
      </c>
      <c r="O13" t="s">
        <v>545</v>
      </c>
      <c r="P13">
        <f>[[#This Row],DayType]&amp;"_W"&amp;[[#This Row],Week]</f>
        <v>0</v>
      </c>
    </row>
    <row r="14" spans="1:16">
      <c r="A14" s="20">
        <v>46183</v>
      </c>
      <c r="B14" t="s">
        <v>92</v>
      </c>
      <c r="C14">
        <v>1</v>
      </c>
      <c r="D14" t="s">
        <v>372</v>
      </c>
      <c r="E14">
        <f>IFERROR(INDEX(B6_Exercise_Library!$D$4:$D$43,MATCH([[#This Row],ExerciseID],B6_Exercise_Library!$A$4:$A$43,0)),"")</f>
        <v>0</v>
      </c>
      <c r="F14" t="s">
        <v>536</v>
      </c>
      <c r="G14">
        <v>2</v>
      </c>
      <c r="I14">
        <v>0</v>
      </c>
      <c r="J14">
        <v>8</v>
      </c>
      <c r="K14">
        <v>1</v>
      </c>
      <c r="L14">
        <v>4</v>
      </c>
      <c r="O14" t="s">
        <v>546</v>
      </c>
      <c r="P14">
        <f>[[#This Row],DayType]&amp;"_W"&amp;[[#This Row],Week]</f>
        <v>0</v>
      </c>
    </row>
    <row r="15" spans="1:16">
      <c r="A15" s="20">
        <v>46183</v>
      </c>
      <c r="B15" t="s">
        <v>92</v>
      </c>
      <c r="C15">
        <v>1</v>
      </c>
      <c r="D15" t="s">
        <v>378</v>
      </c>
      <c r="E15">
        <f>IFERROR(INDEX(B6_Exercise_Library!$D$4:$D$43,MATCH([[#This Row],ExerciseID],B6_Exercise_Library!$A$4:$A$43,0)),"")</f>
        <v>0</v>
      </c>
      <c r="F15" t="s">
        <v>532</v>
      </c>
      <c r="G15">
        <v>3</v>
      </c>
      <c r="I15">
        <v>0</v>
      </c>
      <c r="J15">
        <v>8</v>
      </c>
      <c r="K15">
        <v>1</v>
      </c>
      <c r="L15">
        <v>2</v>
      </c>
      <c r="O15" t="s">
        <v>547</v>
      </c>
      <c r="P15">
        <f>[[#This Row],DayType]&amp;"_W"&amp;[[#This Row],Week]</f>
        <v>0</v>
      </c>
    </row>
    <row r="16" spans="1:16">
      <c r="A16" s="20">
        <v>46183</v>
      </c>
      <c r="B16" t="s">
        <v>92</v>
      </c>
      <c r="C16">
        <v>1</v>
      </c>
      <c r="D16" t="s">
        <v>366</v>
      </c>
      <c r="E16">
        <f>IFERROR(INDEX(B6_Exercise_Library!$D$4:$D$43,MATCH([[#This Row],ExerciseID],B6_Exercise_Library!$A$4:$A$43,0)),"")</f>
        <v>0</v>
      </c>
      <c r="F16" t="s">
        <v>532</v>
      </c>
      <c r="G16">
        <v>4</v>
      </c>
      <c r="H16" t="s">
        <v>47</v>
      </c>
      <c r="I16">
        <v>0</v>
      </c>
      <c r="J16">
        <v>9</v>
      </c>
      <c r="K16">
        <v>1</v>
      </c>
      <c r="L16">
        <v>3</v>
      </c>
      <c r="N16">
        <v>2</v>
      </c>
      <c r="O16" t="s">
        <v>548</v>
      </c>
      <c r="P16">
        <f>[[#This Row],DayType]&amp;"_W"&amp;[[#This Row],Week]</f>
        <v>0</v>
      </c>
    </row>
    <row r="17" spans="1:16">
      <c r="A17" s="20">
        <v>46183</v>
      </c>
      <c r="B17" t="s">
        <v>92</v>
      </c>
      <c r="C17">
        <v>1</v>
      </c>
      <c r="D17" t="s">
        <v>400</v>
      </c>
      <c r="E17">
        <f>IFERROR(INDEX(B6_Exercise_Library!$D$4:$D$43,MATCH([[#This Row],ExerciseID],B6_Exercise_Library!$A$4:$A$43,0)),"")</f>
        <v>0</v>
      </c>
      <c r="F17" t="s">
        <v>532</v>
      </c>
      <c r="G17">
        <v>4</v>
      </c>
      <c r="I17">
        <v>0</v>
      </c>
      <c r="J17">
        <v>8</v>
      </c>
      <c r="K17">
        <v>1</v>
      </c>
      <c r="L17">
        <v>2</v>
      </c>
      <c r="M17">
        <v>8</v>
      </c>
      <c r="O17" t="s">
        <v>549</v>
      </c>
      <c r="P17">
        <f>[[#This Row],DayType]&amp;"_W"&amp;[[#This Row],Week]</f>
        <v>0</v>
      </c>
    </row>
    <row r="18" spans="1:16">
      <c r="A18" s="20">
        <v>46183</v>
      </c>
      <c r="B18" t="s">
        <v>92</v>
      </c>
      <c r="C18">
        <v>1</v>
      </c>
      <c r="D18" t="s">
        <v>403</v>
      </c>
      <c r="E18">
        <f>IFERROR(INDEX(B6_Exercise_Library!$D$4:$D$43,MATCH([[#This Row],ExerciseID],B6_Exercise_Library!$A$4:$A$43,0)),"")</f>
        <v>0</v>
      </c>
      <c r="F18" t="s">
        <v>532</v>
      </c>
      <c r="G18">
        <v>4</v>
      </c>
      <c r="H18" t="s">
        <v>550</v>
      </c>
      <c r="I18">
        <v>40</v>
      </c>
      <c r="J18">
        <v>9</v>
      </c>
      <c r="K18">
        <v>1</v>
      </c>
      <c r="O18" t="s">
        <v>551</v>
      </c>
      <c r="P18">
        <f>[[#This Row],DayType]&amp;"_W"&amp;[[#This Row],Week]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552</v>
      </c>
      <c r="B1" s="1"/>
      <c r="C1" s="1"/>
      <c r="D1" s="1"/>
      <c r="E1" s="1"/>
      <c r="F1" s="1"/>
      <c r="G1" s="1"/>
    </row>
    <row r="3" spans="1:7">
      <c r="A3" s="5" t="s">
        <v>553</v>
      </c>
      <c r="B3" s="5"/>
      <c r="C3" s="5"/>
    </row>
    <row r="4" spans="1:7">
      <c r="A4" s="9" t="s">
        <v>554</v>
      </c>
      <c r="B4" s="11">
        <v>80.8</v>
      </c>
      <c r="C4" s="4" t="s">
        <v>562</v>
      </c>
      <c r="D4" s="4"/>
      <c r="E4" s="4"/>
      <c r="F4" s="4"/>
      <c r="G4" s="4"/>
    </row>
    <row r="5" spans="1:7">
      <c r="A5" s="9" t="s">
        <v>555</v>
      </c>
      <c r="B5" s="6" t="s">
        <v>556</v>
      </c>
    </row>
    <row r="6" spans="1:7">
      <c r="A6" s="9" t="s">
        <v>557</v>
      </c>
      <c r="B6" s="11">
        <v>2.2</v>
      </c>
      <c r="C6" s="4" t="s">
        <v>563</v>
      </c>
      <c r="D6" s="4"/>
      <c r="E6" s="4"/>
      <c r="F6" s="4"/>
      <c r="G6" s="4"/>
    </row>
    <row r="7" spans="1:7">
      <c r="A7" s="9" t="s">
        <v>558</v>
      </c>
      <c r="B7" s="11">
        <v>0.9</v>
      </c>
    </row>
    <row r="8" spans="1:7">
      <c r="A8" s="9" t="s">
        <v>559</v>
      </c>
      <c r="B8" s="10">
        <v>2700</v>
      </c>
    </row>
    <row r="9" spans="1:7">
      <c r="A9" s="9" t="s">
        <v>560</v>
      </c>
      <c r="B9" s="10">
        <f>ROUND(BW*B6,0)</f>
        <v>0</v>
      </c>
    </row>
    <row r="10" spans="1:7">
      <c r="A10" s="9" t="s">
        <v>561</v>
      </c>
      <c r="B10" s="10">
        <f>ROUND(BW*B7,0)</f>
        <v>0</v>
      </c>
    </row>
    <row r="12" spans="1:7">
      <c r="A12" s="5" t="s">
        <v>564</v>
      </c>
      <c r="B12" s="5"/>
      <c r="C12" s="5"/>
      <c r="D12" s="5"/>
      <c r="E12" s="5"/>
      <c r="F12" s="5"/>
      <c r="G12" s="5"/>
    </row>
    <row r="13" spans="1:7">
      <c r="A13" s="7" t="s">
        <v>83</v>
      </c>
      <c r="B13" s="7" t="s">
        <v>565</v>
      </c>
      <c r="C13" s="7" t="s">
        <v>566</v>
      </c>
      <c r="D13" s="7" t="s">
        <v>567</v>
      </c>
      <c r="E13" s="7" t="s">
        <v>568</v>
      </c>
      <c r="F13" s="7" t="s">
        <v>569</v>
      </c>
      <c r="G13" s="7" t="s">
        <v>570</v>
      </c>
    </row>
    <row r="14" spans="1:7">
      <c r="A14" s="9" t="s">
        <v>571</v>
      </c>
      <c r="B14" s="21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572</v>
      </c>
    </row>
    <row r="15" spans="1:7">
      <c r="A15" s="9" t="s">
        <v>100</v>
      </c>
      <c r="B15" s="21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573</v>
      </c>
    </row>
    <row r="16" spans="1:7">
      <c r="A16" s="9" t="s">
        <v>574</v>
      </c>
      <c r="B16" s="21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575</v>
      </c>
    </row>
    <row r="17" spans="1:7">
      <c r="A17" s="9" t="s">
        <v>576</v>
      </c>
      <c r="B17" s="21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577</v>
      </c>
    </row>
    <row r="18" spans="1:7">
      <c r="A18" s="9" t="s">
        <v>578</v>
      </c>
      <c r="B18" s="21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579</v>
      </c>
    </row>
    <row r="19" spans="1:7">
      <c r="A19" s="9" t="s">
        <v>153</v>
      </c>
      <c r="B19" s="21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580</v>
      </c>
    </row>
    <row r="21" spans="1:7">
      <c r="A21" s="5" t="s">
        <v>581</v>
      </c>
      <c r="B21" s="5"/>
      <c r="C21" s="5"/>
      <c r="D21" s="5"/>
      <c r="E21" s="5"/>
      <c r="F21" s="5"/>
      <c r="G21" s="5"/>
    </row>
    <row r="22" spans="1:7">
      <c r="A22" s="4" t="s">
        <v>582</v>
      </c>
      <c r="B22" s="4"/>
      <c r="C22" s="4"/>
      <c r="D22" s="4"/>
      <c r="E22" s="4"/>
      <c r="F22" s="4"/>
      <c r="G22" s="4"/>
    </row>
    <row r="23" spans="1:7">
      <c r="A23" s="4" t="s">
        <v>583</v>
      </c>
      <c r="B23" s="4"/>
      <c r="C23" s="4"/>
      <c r="D23" s="4"/>
      <c r="E23" s="4"/>
      <c r="F23" s="4"/>
      <c r="G23" s="4"/>
    </row>
    <row r="24" spans="1:7">
      <c r="A24" s="4" t="s">
        <v>584</v>
      </c>
      <c r="B24" s="4"/>
      <c r="C24" s="4"/>
      <c r="D24" s="4"/>
      <c r="E24" s="4"/>
      <c r="F24" s="4"/>
      <c r="G24" s="4"/>
    </row>
    <row r="25" spans="1:7">
      <c r="A25" s="4" t="s">
        <v>585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586</v>
      </c>
      <c r="B1" s="1"/>
      <c r="C1" s="1"/>
      <c r="D1" s="1"/>
      <c r="E1" s="1"/>
    </row>
    <row r="3" spans="1:5">
      <c r="A3" s="5" t="s">
        <v>587</v>
      </c>
      <c r="B3" s="5"/>
      <c r="C3" s="5"/>
      <c r="D3" s="5"/>
      <c r="E3" s="5"/>
    </row>
    <row r="4" spans="1:5">
      <c r="A4" s="7" t="s">
        <v>588</v>
      </c>
      <c r="B4" s="7" t="s">
        <v>589</v>
      </c>
      <c r="C4" s="7" t="s">
        <v>590</v>
      </c>
      <c r="D4" s="7" t="s">
        <v>591</v>
      </c>
      <c r="E4" s="7" t="s">
        <v>592</v>
      </c>
    </row>
    <row r="5" spans="1:5">
      <c r="A5" s="9" t="s">
        <v>593</v>
      </c>
      <c r="B5" s="22" t="s">
        <v>594</v>
      </c>
      <c r="C5" s="23" t="s">
        <v>595</v>
      </c>
      <c r="D5" s="24" t="s">
        <v>596</v>
      </c>
      <c r="E5" s="25" t="s">
        <v>597</v>
      </c>
    </row>
    <row r="6" spans="1:5">
      <c r="A6" s="9" t="s">
        <v>598</v>
      </c>
      <c r="B6" s="22" t="s">
        <v>599</v>
      </c>
      <c r="C6" s="23" t="s">
        <v>600</v>
      </c>
      <c r="D6" s="24" t="s">
        <v>601</v>
      </c>
      <c r="E6" s="25" t="s">
        <v>602</v>
      </c>
    </row>
    <row r="7" spans="1:5">
      <c r="A7" s="9" t="s">
        <v>603</v>
      </c>
      <c r="B7" s="22" t="s">
        <v>604</v>
      </c>
      <c r="C7" s="23" t="s">
        <v>605</v>
      </c>
      <c r="D7" s="24" t="s">
        <v>606</v>
      </c>
      <c r="E7" s="25" t="s">
        <v>607</v>
      </c>
    </row>
    <row r="8" spans="1:5">
      <c r="A8" s="9" t="s">
        <v>608</v>
      </c>
      <c r="B8" s="22" t="s">
        <v>609</v>
      </c>
      <c r="C8" s="23" t="s">
        <v>610</v>
      </c>
      <c r="D8" s="24" t="s">
        <v>611</v>
      </c>
      <c r="E8" s="25" t="s">
        <v>612</v>
      </c>
    </row>
    <row r="10" spans="1:5">
      <c r="A10" s="5" t="s">
        <v>613</v>
      </c>
      <c r="B10" s="5"/>
      <c r="C10" s="5"/>
      <c r="D10" s="5"/>
      <c r="E10" s="5"/>
    </row>
    <row r="11" spans="1:5">
      <c r="A11" s="4" t="s">
        <v>614</v>
      </c>
      <c r="B11" s="4"/>
      <c r="C11" s="4"/>
      <c r="D11" s="4"/>
      <c r="E11" s="4"/>
    </row>
    <row r="12" spans="1:5">
      <c r="A12" s="4" t="s">
        <v>615</v>
      </c>
      <c r="B12" s="4"/>
      <c r="C12" s="4"/>
      <c r="D12" s="4"/>
      <c r="E12" s="4"/>
    </row>
    <row r="13" spans="1:5">
      <c r="A13" s="4" t="s">
        <v>616</v>
      </c>
      <c r="B13" s="4"/>
      <c r="C13" s="4"/>
      <c r="D13" s="4"/>
      <c r="E13" s="4"/>
    </row>
    <row r="14" spans="1:5">
      <c r="A14" s="4" t="s">
        <v>617</v>
      </c>
      <c r="B14" s="4"/>
      <c r="C14" s="4"/>
      <c r="D14" s="4"/>
      <c r="E14" s="4"/>
    </row>
    <row r="15" spans="1:5">
      <c r="A15" s="4" t="s">
        <v>618</v>
      </c>
      <c r="B15" s="4"/>
      <c r="C15" s="4"/>
      <c r="D15" s="4"/>
      <c r="E15" s="4"/>
    </row>
    <row r="16" spans="1:5">
      <c r="A16" s="4" t="s">
        <v>619</v>
      </c>
      <c r="B16" s="4"/>
      <c r="C16" s="4"/>
      <c r="D16" s="4"/>
      <c r="E16" s="4"/>
    </row>
    <row r="18" spans="1:5">
      <c r="A18" s="5" t="s">
        <v>620</v>
      </c>
      <c r="B18" s="5"/>
      <c r="C18" s="5"/>
      <c r="D18" s="5"/>
      <c r="E18" s="5"/>
    </row>
    <row r="19" spans="1:5">
      <c r="A19" s="7" t="s">
        <v>621</v>
      </c>
      <c r="B19" s="7" t="s">
        <v>622</v>
      </c>
      <c r="C19" s="7" t="s">
        <v>623</v>
      </c>
      <c r="D19" s="7" t="s">
        <v>624</v>
      </c>
      <c r="E19" s="7" t="s">
        <v>625</v>
      </c>
    </row>
    <row r="20" spans="1:5">
      <c r="A20" s="13" t="s">
        <v>65</v>
      </c>
      <c r="B20" s="4" t="s">
        <v>626</v>
      </c>
      <c r="C20" s="4" t="s">
        <v>627</v>
      </c>
      <c r="D20" s="4" t="s">
        <v>628</v>
      </c>
      <c r="E20" s="4" t="s">
        <v>629</v>
      </c>
    </row>
    <row r="21" spans="1:5">
      <c r="A21" s="13" t="s">
        <v>47</v>
      </c>
      <c r="B21" s="4" t="s">
        <v>630</v>
      </c>
      <c r="C21" s="4" t="s">
        <v>631</v>
      </c>
      <c r="D21" s="4" t="s">
        <v>632</v>
      </c>
      <c r="E21" s="4" t="s">
        <v>633</v>
      </c>
    </row>
    <row r="22" spans="1:5">
      <c r="A22" s="13" t="s">
        <v>33</v>
      </c>
      <c r="B22" s="4" t="s">
        <v>634</v>
      </c>
      <c r="C22" s="4" t="s">
        <v>635</v>
      </c>
      <c r="D22" s="4" t="s">
        <v>636</v>
      </c>
      <c r="E22" s="4" t="s">
        <v>637</v>
      </c>
    </row>
    <row r="23" spans="1:5">
      <c r="A23" s="13" t="s">
        <v>32</v>
      </c>
      <c r="B23" s="4" t="s">
        <v>638</v>
      </c>
      <c r="C23" s="4" t="s">
        <v>639</v>
      </c>
      <c r="D23" s="4" t="s">
        <v>640</v>
      </c>
      <c r="E23" s="4" t="s">
        <v>641</v>
      </c>
    </row>
    <row r="24" spans="1:5">
      <c r="A24" s="26" t="s">
        <v>642</v>
      </c>
      <c r="B24" s="26"/>
      <c r="C24" s="26"/>
      <c r="D24" s="26"/>
      <c r="E24" s="26"/>
    </row>
    <row r="26" spans="1:5">
      <c r="A26" s="5" t="s">
        <v>643</v>
      </c>
      <c r="B26" s="5"/>
      <c r="C26" s="5"/>
      <c r="D26" s="5"/>
      <c r="E26" s="5"/>
    </row>
    <row r="27" spans="1:5">
      <c r="A27" s="4" t="s">
        <v>644</v>
      </c>
      <c r="B27" s="4"/>
      <c r="C27" s="4"/>
      <c r="D27" s="4"/>
      <c r="E27" s="4"/>
    </row>
    <row r="28" spans="1:5">
      <c r="A28" s="4" t="s">
        <v>645</v>
      </c>
      <c r="B28" s="4"/>
      <c r="C28" s="4"/>
      <c r="D28" s="4"/>
      <c r="E28" s="4"/>
    </row>
    <row r="29" spans="1:5">
      <c r="A29" s="4" t="s">
        <v>646</v>
      </c>
      <c r="B29" s="4"/>
      <c r="C29" s="4"/>
      <c r="D29" s="4"/>
      <c r="E29" s="4"/>
    </row>
    <row r="30" spans="1:5">
      <c r="A30" s="4" t="s">
        <v>647</v>
      </c>
      <c r="B30" s="4"/>
      <c r="C30" s="4"/>
      <c r="D30" s="4"/>
      <c r="E30" s="4"/>
    </row>
    <row r="31" spans="1:5">
      <c r="A31" s="4" t="s">
        <v>648</v>
      </c>
      <c r="B31" s="4"/>
      <c r="C31" s="4"/>
      <c r="D31" s="4"/>
      <c r="E31" s="4"/>
    </row>
    <row r="33" spans="1:5">
      <c r="A33" s="5" t="s">
        <v>649</v>
      </c>
      <c r="B33" s="5"/>
      <c r="C33" s="5"/>
      <c r="D33" s="5"/>
      <c r="E33" s="5"/>
    </row>
    <row r="34" spans="1:5">
      <c r="A34" s="7" t="s">
        <v>650</v>
      </c>
      <c r="B34" s="7" t="s">
        <v>651</v>
      </c>
      <c r="C34" s="7" t="s">
        <v>652</v>
      </c>
      <c r="D34" s="7"/>
      <c r="E34" s="7"/>
    </row>
    <row r="35" spans="1:5">
      <c r="A35" s="4" t="s">
        <v>653</v>
      </c>
      <c r="B35" s="27" t="s">
        <v>654</v>
      </c>
      <c r="C35" s="4" t="s">
        <v>655</v>
      </c>
      <c r="D35" s="4"/>
      <c r="E35" s="4"/>
    </row>
    <row r="36" spans="1:5">
      <c r="A36" s="4" t="s">
        <v>656</v>
      </c>
      <c r="B36" s="27" t="s">
        <v>657</v>
      </c>
      <c r="C36" s="4" t="s">
        <v>658</v>
      </c>
      <c r="D36" s="4"/>
      <c r="E36" s="4"/>
    </row>
    <row r="37" spans="1:5">
      <c r="A37" s="4" t="s">
        <v>659</v>
      </c>
      <c r="B37" s="27" t="s">
        <v>660</v>
      </c>
      <c r="C37" s="4" t="s">
        <v>661</v>
      </c>
      <c r="D37" s="4"/>
      <c r="E37" s="4"/>
    </row>
    <row r="38" spans="1:5">
      <c r="A38" s="4" t="s">
        <v>662</v>
      </c>
      <c r="B38" s="27" t="s">
        <v>663</v>
      </c>
      <c r="C38" s="4" t="s">
        <v>664</v>
      </c>
      <c r="D38" s="4"/>
      <c r="E38" s="4"/>
    </row>
    <row r="39" spans="1:5">
      <c r="A39" s="4" t="s">
        <v>662</v>
      </c>
      <c r="B39" s="27" t="s">
        <v>665</v>
      </c>
      <c r="C39" s="4" t="s">
        <v>666</v>
      </c>
      <c r="D39" s="4"/>
      <c r="E39" s="4"/>
    </row>
    <row r="40" spans="1:5">
      <c r="A40" s="4" t="s">
        <v>667</v>
      </c>
      <c r="B40" s="27" t="s">
        <v>668</v>
      </c>
      <c r="C40" s="4" t="s">
        <v>669</v>
      </c>
      <c r="D40" s="4"/>
      <c r="E40" s="4"/>
    </row>
    <row r="41" spans="1:5">
      <c r="A41" s="4" t="s">
        <v>670</v>
      </c>
      <c r="B41" s="27" t="s">
        <v>671</v>
      </c>
      <c r="C41" s="4" t="s">
        <v>672</v>
      </c>
      <c r="D41" s="4"/>
      <c r="E41" s="4"/>
    </row>
  </sheetData>
  <mergeCells count="25">
    <mergeCell ref="A1:E1"/>
    <mergeCell ref="A3:E3"/>
    <mergeCell ref="A10:E10"/>
    <mergeCell ref="A11:E11"/>
    <mergeCell ref="A12:E12"/>
    <mergeCell ref="A13:E13"/>
    <mergeCell ref="A14:E14"/>
    <mergeCell ref="A15:E15"/>
    <mergeCell ref="A16:E16"/>
    <mergeCell ref="A18:E18"/>
    <mergeCell ref="A24:E24"/>
    <mergeCell ref="A26:E26"/>
    <mergeCell ref="A27:E27"/>
    <mergeCell ref="A28:E28"/>
    <mergeCell ref="A29:E29"/>
    <mergeCell ref="A30:E30"/>
    <mergeCell ref="A31:E31"/>
    <mergeCell ref="A33:E33"/>
    <mergeCell ref="C35:E35"/>
    <mergeCell ref="C36:E36"/>
    <mergeCell ref="C37:E37"/>
    <mergeCell ref="C38:E38"/>
    <mergeCell ref="C39:E39"/>
    <mergeCell ref="C40:E40"/>
    <mergeCell ref="C41:E41"/>
  </mergeCells>
  <hyperlinks>
    <hyperlink ref="B35" r:id="rId1"/>
    <hyperlink ref="B36" r:id="rId2"/>
    <hyperlink ref="B37" r:id="rId3"/>
    <hyperlink ref="B38" r:id="rId4"/>
    <hyperlink ref="B39" r:id="rId5"/>
    <hyperlink ref="B40" r:id="rId6"/>
    <hyperlink ref="B41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673</v>
      </c>
      <c r="B1" s="1"/>
      <c r="C1" s="1"/>
      <c r="D1" s="1"/>
      <c r="E1" s="1"/>
      <c r="F1" s="1"/>
    </row>
    <row r="2" spans="1:6">
      <c r="A2" s="12" t="s">
        <v>674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675</v>
      </c>
    </row>
    <row r="4" spans="1:6">
      <c r="A4" s="9" t="s">
        <v>676</v>
      </c>
      <c r="B4" s="11">
        <f>SUMIFS(tblLog[Sets],tblLog[Category],"Skill90",tblLog[Week],1)+SUMIFS(tblLog[Sets],tblLog[Category],"Planche",tblLog[Week],1)+SUMIFS(tblLog[Sets],tblLog[Category],"Push",tblLog[Week],1)</f>
        <v>0</v>
      </c>
      <c r="C4" s="11">
        <f>SUMIFS(tblLog[Sets],tblLog[Category],"Skill90",tblLog[Week],2)+SUMIFS(tblLog[Sets],tblLog[Category],"Planche",tblLog[Week],2)+SUMIFS(tblLog[Sets],tblLog[Category],"Push",tblLog[Week],2)</f>
        <v>0</v>
      </c>
      <c r="D4" s="11">
        <f>SUMIFS(tblLog[Sets],tblLog[Category],"Skill90",tblLog[Week],3)+SUMIFS(tblLog[Sets],tblLog[Category],"Planche",tblLog[Week],3)+SUMIFS(tblLog[Sets],tblLog[Category],"Push",tblLog[Week],3)</f>
        <v>0</v>
      </c>
      <c r="E4" s="11">
        <f>SUMIFS(tblLog[Sets],tblLog[Category],"Skill90",tblLog[Week],4)+SUMIFS(tblLog[Sets],tblLog[Category],"Planche",tblLog[Week],4)+SUMIFS(tblLog[Sets],tblLog[Category],"Push",tblLog[Week],4)</f>
        <v>0</v>
      </c>
      <c r="F4" s="28">
        <f>SUMIFS(tblLog[Sets],tblLog[Category],"Skill90")+SUMIFS(tblLog[Sets],tblLog[Category],"Planche")+SUMIFS(tblLog[Sets],tblLog[Category],"Push")</f>
        <v>0</v>
      </c>
    </row>
    <row r="5" spans="1:6">
      <c r="A5" s="9" t="s">
        <v>677</v>
      </c>
      <c r="B5" s="11">
        <f>SUMIFS(tblLog[Sets],tblLog[Category],"Pull",tblLog[Week],1)</f>
        <v>0</v>
      </c>
      <c r="C5" s="11">
        <f>SUMIFS(tblLog[Sets],tblLog[Category],"Pull",tblLog[Week],2)</f>
        <v>0</v>
      </c>
      <c r="D5" s="11">
        <f>SUMIFS(tblLog[Sets],tblLog[Category],"Pull",tblLog[Week],3)</f>
        <v>0</v>
      </c>
      <c r="E5" s="11">
        <f>SUMIFS(tblLog[Sets],tblLog[Category],"Pull",tblLog[Week],4)</f>
        <v>0</v>
      </c>
      <c r="F5" s="28">
        <f>SUMIFS(tblLog[Sets],tblLog[Category],"Pull")</f>
        <v>0</v>
      </c>
    </row>
    <row r="6" spans="1:6">
      <c r="A6" s="9" t="s">
        <v>678</v>
      </c>
      <c r="B6" s="11">
        <f>SUMIFS(tblLog[Sets],tblLog[Category],"Legs",tblLog[Week],1)</f>
        <v>0</v>
      </c>
      <c r="C6" s="11">
        <f>SUMIFS(tblLog[Sets],tblLog[Category],"Legs",tblLog[Week],2)</f>
        <v>0</v>
      </c>
      <c r="D6" s="11">
        <f>SUMIFS(tblLog[Sets],tblLog[Category],"Legs",tblLog[Week],3)</f>
        <v>0</v>
      </c>
      <c r="E6" s="11">
        <f>SUMIFS(tblLog[Sets],tblLog[Category],"Legs",tblLog[Week],4)</f>
        <v>0</v>
      </c>
      <c r="F6" s="28">
        <f>SUMIFS(tblLog[Sets],tblLog[Category],"Legs")</f>
        <v>0</v>
      </c>
    </row>
    <row r="7" spans="1:6">
      <c r="A7" s="9" t="s">
        <v>679</v>
      </c>
      <c r="B7" s="10">
        <f>COUNTIFS(tblLog[ExerciseID],"90",tblLog[Week],1)</f>
        <v>0</v>
      </c>
      <c r="C7" s="10">
        <f>COUNTIFS(tblLog[ExerciseID],"90",tblLog[Week],2)</f>
        <v>0</v>
      </c>
      <c r="D7" s="10">
        <f>COUNTIFS(tblLog[ExerciseID],"90",tblLog[Week],3)</f>
        <v>0</v>
      </c>
      <c r="E7" s="10">
        <f>COUNTIFS(tblLog[ExerciseID],"90",tblLog[Week],4)</f>
        <v>0</v>
      </c>
      <c r="F7" s="29">
        <f>COUNTIFS(tblLog[ExerciseID],"90")</f>
        <v>0</v>
      </c>
    </row>
    <row r="8" spans="1:6">
      <c r="A8" s="9" t="s">
        <v>680</v>
      </c>
      <c r="B8" s="10">
        <f>SUMIFS(tblLog[CleanReps],tblLog[ExerciseID],"90",tblLog[Week],1)</f>
        <v>0</v>
      </c>
      <c r="C8" s="10">
        <f>SUMIFS(tblLog[CleanReps],tblLog[ExerciseID],"90",tblLog[Week],2)</f>
        <v>0</v>
      </c>
      <c r="D8" s="10">
        <f>SUMIFS(tblLog[CleanReps],tblLog[ExerciseID],"90",tblLog[Week],3)</f>
        <v>0</v>
      </c>
      <c r="E8" s="10">
        <f>SUMIFS(tblLog[CleanReps],tblLog[ExerciseID],"90",tblLog[Week],4)</f>
        <v>0</v>
      </c>
      <c r="F8" s="29">
        <f>SUMIFS(tblLog[CleanReps],tblLog[ExerciseID],"90")</f>
        <v>0</v>
      </c>
    </row>
    <row r="9" spans="1:6">
      <c r="A9" s="9" t="s">
        <v>681</v>
      </c>
      <c r="B9" s="10">
        <f>COUNTIFS(tblLog[Category],"SkillOAHS",tblLog[Week],1)</f>
        <v>0</v>
      </c>
      <c r="C9" s="10">
        <f>COUNTIFS(tblLog[Category],"SkillOAHS",tblLog[Week],2)</f>
        <v>0</v>
      </c>
      <c r="D9" s="10">
        <f>COUNTIFS(tblLog[Category],"SkillOAHS",tblLog[Week],3)</f>
        <v>0</v>
      </c>
      <c r="E9" s="10">
        <f>COUNTIFS(tblLog[Category],"SkillOAHS",tblLog[Week],4)</f>
        <v>0</v>
      </c>
      <c r="F9" s="29">
        <f>COUNTIFS(tblLog[Category],"SkillOAHS")</f>
        <v>0</v>
      </c>
    </row>
    <row r="10" spans="1:6">
      <c r="A10" s="9" t="s">
        <v>682</v>
      </c>
      <c r="B10" s="10">
        <f>COUNTIFS(tblLog[Category],"Planche",tblLog[Week],1)</f>
        <v>0</v>
      </c>
      <c r="C10" s="10">
        <f>COUNTIFS(tblLog[Category],"Planche",tblLog[Week],2)</f>
        <v>0</v>
      </c>
      <c r="D10" s="10">
        <f>COUNTIFS(tblLog[Category],"Planche",tblLog[Week],3)</f>
        <v>0</v>
      </c>
      <c r="E10" s="10">
        <f>COUNTIFS(tblLog[Category],"Planche",tblLog[Week],4)</f>
        <v>0</v>
      </c>
      <c r="F10" s="29">
        <f>COUNTIFS(tblLog[Category],"Planche")</f>
        <v>0</v>
      </c>
    </row>
    <row r="11" spans="1:6">
      <c r="A11" s="9" t="s">
        <v>70</v>
      </c>
      <c r="B11" s="10">
        <f>MAXIFS(tblLog[BestHold_s],tblLog[Category],"SkillOAHS",tblLog[Side],"L",tblLog[Week],1)</f>
        <v>0</v>
      </c>
      <c r="C11" s="10">
        <f>MAXIFS(tblLog[BestHold_s],tblLog[Category],"SkillOAHS",tblLog[Side],"L",tblLog[Week],2)</f>
        <v>0</v>
      </c>
      <c r="D11" s="10">
        <f>MAXIFS(tblLog[BestHold_s],tblLog[Category],"SkillOAHS",tblLog[Side],"L",tblLog[Week],3)</f>
        <v>0</v>
      </c>
      <c r="E11" s="10">
        <f>MAXIFS(tblLog[BestHold_s],tblLog[Category],"SkillOAHS",tblLog[Side],"L",tblLog[Week],4)</f>
        <v>0</v>
      </c>
      <c r="F11" s="29">
        <f>MAXIFS(tblLog[BestHold_s],tblLog[Category],"SkillOAHS",tblLog[Side],"L")</f>
        <v>0</v>
      </c>
    </row>
    <row r="12" spans="1:6">
      <c r="A12" s="9" t="s">
        <v>72</v>
      </c>
      <c r="B12" s="10">
        <f>MAXIFS(tblLog[BestHold_s],tblLog[Category],"SkillOAHS",tblLog[Side],"R",tblLog[Week],1)</f>
        <v>0</v>
      </c>
      <c r="C12" s="10">
        <f>MAXIFS(tblLog[BestHold_s],tblLog[Category],"SkillOAHS",tblLog[Side],"R",tblLog[Week],2)</f>
        <v>0</v>
      </c>
      <c r="D12" s="10">
        <f>MAXIFS(tblLog[BestHold_s],tblLog[Category],"SkillOAHS",tblLog[Side],"R",tblLog[Week],3)</f>
        <v>0</v>
      </c>
      <c r="E12" s="10">
        <f>MAXIFS(tblLog[BestHold_s],tblLog[Category],"SkillOAHS",tblLog[Side],"R",tblLog[Week],4)</f>
        <v>0</v>
      </c>
      <c r="F12" s="29">
        <f>MAXIFS(tblLog[BestHold_s],tblLog[Category],"SkillOAHS",tblLog[Side],"R")</f>
        <v>0</v>
      </c>
    </row>
    <row r="13" spans="1:6">
      <c r="A13" s="9" t="s">
        <v>75</v>
      </c>
      <c r="B13" s="10">
        <f>MAXIFS(tblLog[BestHold_s],tblLog[Category],"SkillFlag",tblLog[Side],"L",tblLog[Week],1)</f>
        <v>0</v>
      </c>
      <c r="C13" s="10">
        <f>MAXIFS(tblLog[BestHold_s],tblLog[Category],"SkillFlag",tblLog[Side],"L",tblLog[Week],2)</f>
        <v>0</v>
      </c>
      <c r="D13" s="10">
        <f>MAXIFS(tblLog[BestHold_s],tblLog[Category],"SkillFlag",tblLog[Side],"L",tblLog[Week],3)</f>
        <v>0</v>
      </c>
      <c r="E13" s="10">
        <f>MAXIFS(tblLog[BestHold_s],tblLog[Category],"SkillFlag",tblLog[Side],"L",tblLog[Week],4)</f>
        <v>0</v>
      </c>
      <c r="F13" s="29">
        <f>MAXIFS(tblLog[BestHold_s],tblLog[Category],"SkillFlag",tblLog[Side],"L")</f>
        <v>0</v>
      </c>
    </row>
    <row r="14" spans="1:6">
      <c r="A14" s="9" t="s">
        <v>77</v>
      </c>
      <c r="B14" s="10">
        <f>MAXIFS(tblLog[BestHold_s],tblLog[Category],"SkillFlag",tblLog[Side],"R",tblLog[Week],1)</f>
        <v>0</v>
      </c>
      <c r="C14" s="10">
        <f>MAXIFS(tblLog[BestHold_s],tblLog[Category],"SkillFlag",tblLog[Side],"R",tblLog[Week],2)</f>
        <v>0</v>
      </c>
      <c r="D14" s="10">
        <f>MAXIFS(tblLog[BestHold_s],tblLog[Category],"SkillFlag",tblLog[Side],"R",tblLog[Week],3)</f>
        <v>0</v>
      </c>
      <c r="E14" s="10">
        <f>MAXIFS(tblLog[BestHold_s],tblLog[Category],"SkillFlag",tblLog[Side],"R",tblLog[Week],4)</f>
        <v>0</v>
      </c>
      <c r="F14" s="29">
        <f>MAXIFS(tblLog[BestHold_s],tblLog[Category],"SkillFlag",tblLog[Side],"R")</f>
        <v>0</v>
      </c>
    </row>
    <row r="15" spans="1:6">
      <c r="A15" s="9" t="s">
        <v>683</v>
      </c>
      <c r="B15" s="11">
        <f>SUMIFS(tblLog[Sets],tblLog[Category],"Core",tblLog[Week],1)</f>
        <v>0</v>
      </c>
      <c r="C15" s="11">
        <f>SUMIFS(tblLog[Sets],tblLog[Category],"Core",tblLog[Week],2)</f>
        <v>0</v>
      </c>
      <c r="D15" s="11">
        <f>SUMIFS(tblLog[Sets],tblLog[Category],"Core",tblLog[Week],3)</f>
        <v>0</v>
      </c>
      <c r="E15" s="11">
        <f>SUMIFS(tblLog[Sets],tblLog[Category],"Core",tblLog[Week],4)</f>
        <v>0</v>
      </c>
      <c r="F15" s="28">
        <f>SUMIFS(tblLog[Sets],tblLog[Category],"Core")</f>
        <v>0</v>
      </c>
    </row>
    <row r="16" spans="1:6">
      <c r="A16" s="9" t="s">
        <v>684</v>
      </c>
      <c r="B16" s="11">
        <f>IFERROR(AVERAGEIFS(tblLog[TopRPE],tblLog[Week],1),0)</f>
        <v>0</v>
      </c>
      <c r="C16" s="11">
        <f>IFERROR(AVERAGEIFS(tblLog[TopRPE],tblLog[Week],2),0)</f>
        <v>0</v>
      </c>
      <c r="D16" s="11">
        <f>IFERROR(AVERAGEIFS(tblLog[TopRPE],tblLog[Week],3),0)</f>
        <v>0</v>
      </c>
      <c r="E16" s="11">
        <f>IFERROR(AVERAGEIFS(tblLog[TopRPE],tblLog[Week],4),0)</f>
        <v>0</v>
      </c>
      <c r="F16" s="28">
        <f>IFERROR(AVERAGE(tblLog[TopRPE]),0)</f>
        <v>0</v>
      </c>
    </row>
    <row r="17" spans="1:6">
      <c r="A17" s="9" t="s">
        <v>685</v>
      </c>
      <c r="B17" s="11">
        <f>IFERROR(AVERAGEIFS(tblLog[Pain_0_10],tblLog[Week],1),0)</f>
        <v>0</v>
      </c>
      <c r="C17" s="11">
        <f>IFERROR(AVERAGEIFS(tblLog[Pain_0_10],tblLog[Week],2),0)</f>
        <v>0</v>
      </c>
      <c r="D17" s="11">
        <f>IFERROR(AVERAGEIFS(tblLog[Pain_0_10],tblLog[Week],3),0)</f>
        <v>0</v>
      </c>
      <c r="E17" s="11">
        <f>IFERROR(AVERAGEIFS(tblLog[Pain_0_10],tblLog[Week],4),0)</f>
        <v>0</v>
      </c>
      <c r="F17" s="28">
        <f>IFERROR(AVERAGE(tblLog[Pain_0_10]),0)</f>
        <v>0</v>
      </c>
    </row>
    <row r="18" spans="1:6">
      <c r="A18" s="9" t="s">
        <v>64</v>
      </c>
      <c r="B18" s="10">
        <f>COUNTIFS(tblLog[Pain_0_10],"&gt;=4",tblLog[Week],1)</f>
        <v>0</v>
      </c>
      <c r="C18" s="10">
        <f>COUNTIFS(tblLog[Pain_0_10],"&gt;=4",tblLog[Week],2)</f>
        <v>0</v>
      </c>
      <c r="D18" s="10">
        <f>COUNTIFS(tblLog[Pain_0_10],"&gt;=4",tblLog[Week],3)</f>
        <v>0</v>
      </c>
      <c r="E18" s="10">
        <f>COUNTIFS(tblLog[Pain_0_10],"&gt;=4",tblLog[Week],4)</f>
        <v>0</v>
      </c>
      <c r="F18" s="29">
        <f>COUNTIF(tblLog[Pain_0_10],"&gt;=4")</f>
        <v>0</v>
      </c>
    </row>
    <row r="19" spans="1:6">
      <c r="A19" s="9" t="s">
        <v>686</v>
      </c>
      <c r="B19" s="10">
        <f>COUNTIFS(tblLog[Week],1)</f>
        <v>0</v>
      </c>
      <c r="C19" s="10">
        <f>COUNTIFS(tblLog[Week],2)</f>
        <v>0</v>
      </c>
      <c r="D19" s="10">
        <f>COUNTIFS(tblLog[Week],3)</f>
        <v>0</v>
      </c>
      <c r="E19" s="10">
        <f>COUNTIFS(tblLog[Week],4)</f>
        <v>0</v>
      </c>
      <c r="F19" s="29">
        <f>COUNTA(tblLog[Date])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687</v>
      </c>
      <c r="B1" s="1"/>
      <c r="C1" s="1"/>
      <c r="D1" s="1"/>
    </row>
    <row r="3" spans="1:4">
      <c r="A3" s="5" t="s">
        <v>688</v>
      </c>
      <c r="B3" s="5"/>
      <c r="C3" s="5"/>
      <c r="D3" s="5"/>
    </row>
    <row r="4" spans="1:4">
      <c r="A4" s="7" t="s">
        <v>689</v>
      </c>
      <c r="B4" s="7" t="s">
        <v>690</v>
      </c>
      <c r="C4" s="7" t="s">
        <v>691</v>
      </c>
      <c r="D4" s="7"/>
    </row>
    <row r="5" spans="1:4">
      <c r="A5" s="9" t="s">
        <v>519</v>
      </c>
      <c r="B5" s="4" t="s">
        <v>692</v>
      </c>
      <c r="C5" s="4" t="s">
        <v>693</v>
      </c>
      <c r="D5" s="4"/>
    </row>
    <row r="6" spans="1:4">
      <c r="A6" s="9" t="s">
        <v>520</v>
      </c>
      <c r="B6" s="4" t="s">
        <v>694</v>
      </c>
      <c r="C6" s="4" t="s">
        <v>695</v>
      </c>
      <c r="D6" s="4"/>
    </row>
    <row r="7" spans="1:4">
      <c r="A7" s="9" t="s">
        <v>521</v>
      </c>
      <c r="B7" s="4" t="s">
        <v>696</v>
      </c>
      <c r="C7" s="4" t="s">
        <v>697</v>
      </c>
      <c r="D7" s="4"/>
    </row>
    <row r="8" spans="1:4">
      <c r="A8" s="9" t="s">
        <v>358</v>
      </c>
      <c r="B8" s="4" t="s">
        <v>698</v>
      </c>
      <c r="C8" s="4" t="s">
        <v>699</v>
      </c>
      <c r="D8" s="4"/>
    </row>
    <row r="9" spans="1:4">
      <c r="A9" s="9" t="s">
        <v>361</v>
      </c>
      <c r="B9" s="4" t="s">
        <v>700</v>
      </c>
      <c r="C9" s="4" t="s">
        <v>701</v>
      </c>
      <c r="D9" s="4"/>
    </row>
    <row r="10" spans="1:4">
      <c r="A10" s="9" t="s">
        <v>522</v>
      </c>
      <c r="B10" s="4" t="s">
        <v>702</v>
      </c>
      <c r="C10" s="4" t="s">
        <v>703</v>
      </c>
      <c r="D10" s="4"/>
    </row>
    <row r="11" spans="1:4">
      <c r="A11" s="9" t="s">
        <v>523</v>
      </c>
      <c r="B11" s="4" t="s">
        <v>704</v>
      </c>
      <c r="C11" s="4" t="s">
        <v>705</v>
      </c>
      <c r="D11" s="4"/>
    </row>
    <row r="12" spans="1:4">
      <c r="A12" s="9" t="s">
        <v>524</v>
      </c>
      <c r="B12" s="4" t="s">
        <v>706</v>
      </c>
      <c r="C12" s="4" t="s">
        <v>707</v>
      </c>
      <c r="D12" s="4"/>
    </row>
    <row r="13" spans="1:4">
      <c r="A13" s="9" t="s">
        <v>525</v>
      </c>
      <c r="B13" s="4" t="s">
        <v>704</v>
      </c>
      <c r="C13" s="4" t="s">
        <v>708</v>
      </c>
      <c r="D13" s="4"/>
    </row>
    <row r="14" spans="1:4">
      <c r="A14" s="9" t="s">
        <v>526</v>
      </c>
      <c r="B14" s="4" t="s">
        <v>709</v>
      </c>
      <c r="C14" s="4" t="s">
        <v>710</v>
      </c>
      <c r="D14" s="4"/>
    </row>
    <row r="15" spans="1:4">
      <c r="A15" s="9" t="s">
        <v>527</v>
      </c>
      <c r="B15" s="4" t="s">
        <v>711</v>
      </c>
      <c r="C15" s="4" t="s">
        <v>712</v>
      </c>
      <c r="D15" s="4"/>
    </row>
    <row r="16" spans="1:4">
      <c r="A16" s="9" t="s">
        <v>528</v>
      </c>
      <c r="B16" s="4" t="s">
        <v>713</v>
      </c>
      <c r="C16" s="4" t="s">
        <v>714</v>
      </c>
      <c r="D16" s="4"/>
    </row>
    <row r="17" spans="1:4">
      <c r="A17" s="9" t="s">
        <v>529</v>
      </c>
      <c r="B17" s="4" t="s">
        <v>704</v>
      </c>
      <c r="C17" s="4" t="s">
        <v>715</v>
      </c>
      <c r="D17" s="4"/>
    </row>
    <row r="18" spans="1:4">
      <c r="A18" s="9" t="s">
        <v>530</v>
      </c>
      <c r="B18" s="4" t="s">
        <v>704</v>
      </c>
      <c r="C18" s="4" t="s">
        <v>716</v>
      </c>
      <c r="D18" s="4"/>
    </row>
    <row r="19" spans="1:4">
      <c r="A19" s="9" t="s">
        <v>90</v>
      </c>
      <c r="B19" s="4" t="s">
        <v>706</v>
      </c>
      <c r="C19" s="4" t="s">
        <v>717</v>
      </c>
      <c r="D19" s="4"/>
    </row>
    <row r="20" spans="1:4">
      <c r="A20" s="9" t="s">
        <v>531</v>
      </c>
      <c r="B20" s="4" t="s">
        <v>718</v>
      </c>
      <c r="C20" s="4" t="s">
        <v>719</v>
      </c>
      <c r="D20" s="4"/>
    </row>
    <row r="22" spans="1:4">
      <c r="A22" s="5" t="s">
        <v>720</v>
      </c>
      <c r="B22" s="5"/>
      <c r="C22" s="5"/>
      <c r="D22" s="5"/>
    </row>
    <row r="23" spans="1:4">
      <c r="A23" s="4" t="s">
        <v>721</v>
      </c>
      <c r="B23" s="4"/>
      <c r="C23" s="4"/>
      <c r="D23" s="4"/>
    </row>
    <row r="24" spans="1:4">
      <c r="A24" s="4" t="s">
        <v>722</v>
      </c>
      <c r="B24" s="4"/>
      <c r="C24" s="4"/>
      <c r="D24" s="4"/>
    </row>
    <row r="25" spans="1:4">
      <c r="A25" s="4" t="s">
        <v>723</v>
      </c>
      <c r="B25" s="4"/>
      <c r="C25" s="4"/>
      <c r="D25" s="4"/>
    </row>
    <row r="26" spans="1:4">
      <c r="A26" s="4" t="s">
        <v>724</v>
      </c>
      <c r="B26" s="4"/>
      <c r="C26" s="4"/>
      <c r="D26" s="4"/>
    </row>
    <row r="27" spans="1:4">
      <c r="A27" s="4" t="s">
        <v>725</v>
      </c>
      <c r="B27" s="4"/>
      <c r="C27" s="4"/>
      <c r="D27" s="4"/>
    </row>
    <row r="28" spans="1:4">
      <c r="A28" s="4" t="s">
        <v>726</v>
      </c>
      <c r="B28" s="4"/>
      <c r="C28" s="4"/>
      <c r="D28" s="4"/>
    </row>
    <row r="30" spans="1:4">
      <c r="A30" s="5" t="s">
        <v>727</v>
      </c>
      <c r="B30" s="5"/>
      <c r="C30" s="5"/>
      <c r="D30" s="5"/>
    </row>
    <row r="31" spans="1:4">
      <c r="A31" s="7" t="s">
        <v>728</v>
      </c>
      <c r="B31" s="7" t="s">
        <v>729</v>
      </c>
      <c r="C31" s="7" t="s">
        <v>730</v>
      </c>
      <c r="D31" s="7"/>
    </row>
    <row r="32" spans="1:4">
      <c r="A32" s="13" t="s">
        <v>47</v>
      </c>
      <c r="B32" s="4" t="s">
        <v>731</v>
      </c>
      <c r="C32" s="4" t="s">
        <v>732</v>
      </c>
      <c r="D32" s="4"/>
    </row>
    <row r="33" spans="1:4">
      <c r="A33" s="13" t="s">
        <v>33</v>
      </c>
      <c r="B33" s="4" t="s">
        <v>733</v>
      </c>
      <c r="C33" s="4" t="s">
        <v>734</v>
      </c>
      <c r="D33" s="4"/>
    </row>
    <row r="34" spans="1:4">
      <c r="A34" s="13" t="s">
        <v>32</v>
      </c>
      <c r="B34" s="4" t="s">
        <v>735</v>
      </c>
      <c r="C34" s="4" t="s">
        <v>736</v>
      </c>
      <c r="D34" s="4"/>
    </row>
    <row r="35" spans="1:4">
      <c r="A35" s="13" t="s">
        <v>297</v>
      </c>
      <c r="B35" s="4" t="s">
        <v>737</v>
      </c>
      <c r="C35" s="4" t="s">
        <v>738</v>
      </c>
      <c r="D35" s="4"/>
    </row>
    <row r="36" spans="1:4">
      <c r="A36" s="13" t="s">
        <v>739</v>
      </c>
      <c r="B36" s="4" t="s">
        <v>740</v>
      </c>
      <c r="C36" s="4" t="s">
        <v>741</v>
      </c>
      <c r="D36" s="4"/>
    </row>
    <row r="37" spans="1:4">
      <c r="A37" s="13" t="s">
        <v>742</v>
      </c>
      <c r="B37" s="4" t="s">
        <v>743</v>
      </c>
      <c r="C37" s="4" t="s">
        <v>744</v>
      </c>
      <c r="D37" s="4"/>
    </row>
    <row r="39" spans="1:4">
      <c r="A39" s="5" t="s">
        <v>745</v>
      </c>
      <c r="B39" s="5"/>
      <c r="C39" s="5"/>
      <c r="D39" s="5"/>
    </row>
    <row r="40" spans="1:4">
      <c r="A40" s="4" t="s">
        <v>746</v>
      </c>
      <c r="B40" s="4"/>
      <c r="C40" s="4"/>
      <c r="D40" s="4"/>
    </row>
    <row r="41" spans="1:4">
      <c r="A41" s="4" t="s">
        <v>747</v>
      </c>
      <c r="B41" s="4"/>
      <c r="C41" s="4"/>
      <c r="D41" s="4"/>
    </row>
    <row r="42" spans="1:4">
      <c r="A42" s="4" t="s">
        <v>748</v>
      </c>
      <c r="B42" s="4"/>
      <c r="C42" s="4"/>
      <c r="D42" s="4"/>
    </row>
    <row r="43" spans="1:4">
      <c r="A43" s="4" t="s">
        <v>749</v>
      </c>
      <c r="B43" s="4"/>
      <c r="C43" s="4"/>
      <c r="D43" s="4"/>
    </row>
    <row r="44" spans="1:4">
      <c r="A44" s="4" t="s">
        <v>750</v>
      </c>
      <c r="B44" s="4"/>
      <c r="C44" s="4"/>
      <c r="D44" s="4"/>
    </row>
    <row r="45" spans="1:4">
      <c r="A45" s="4" t="s">
        <v>751</v>
      </c>
      <c r="B45" s="4"/>
      <c r="C45" s="4"/>
      <c r="D45" s="4"/>
    </row>
    <row r="46" spans="1:4">
      <c r="A46" s="4" t="s">
        <v>752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2026-06-11T14:21:14Z</dcterms:created>
  <dcterms:modified xsi:type="dcterms:W3CDTF">2026-06-11T14:21:14Z</dcterms:modified>
</cp:coreProperties>
</file>