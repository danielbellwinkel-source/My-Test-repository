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6_Dashboard" sheetId="1" r:id="rId1"/>
    <sheet name="B6_Schedule" sheetId="2" r:id="rId2"/>
    <sheet name="B6_Plan_Detail" sheetId="3" r:id="rId3"/>
    <sheet name="B6_Exercise_Library" sheetId="4" r:id="rId4"/>
    <sheet name="B6_Training_Log" sheetId="5" r:id="rId5"/>
    <sheet name="B6_Nutrition_Targets" sheetId="6" r:id="rId6"/>
    <sheet name="B6_Rules" sheetId="7" r:id="rId7"/>
    <sheet name="B6_Weekly_Summary" sheetId="8" r:id="rId8"/>
    <sheet name="Log_Guide" sheetId="9" r:id="rId9"/>
  </sheets>
  <definedNames>
    <definedName name="BlockCode">B6_Dashboard!$B$3</definedName>
    <definedName name="BW">B6_Nutrition_Targets!$B$4</definedName>
    <definedName name="DayTypes">B6_Exercise_Library!$K$4:$K$9</definedName>
    <definedName name="ExerciseIDs">B6_Exercise_Library!$A$4:$A$43</definedName>
  </definedNames>
  <calcPr calcId="124519" fullCalcOnLoad="1"/>
</workbook>
</file>

<file path=xl/sharedStrings.xml><?xml version="1.0" encoding="utf-8"?>
<sst xmlns="http://schemas.openxmlformats.org/spreadsheetml/2006/main" count="1383" uniqueCount="758">
  <si>
    <t>B6 — Performance-Block Dashboard (Google-Sheets-Version)</t>
  </si>
  <si>
    <t>Block =</t>
  </si>
  <si>
    <t>B6</t>
  </si>
  <si>
    <t>Folgeblock: diese Zelle auf B7 setzen, Sheets klonen, Prefix anpassen.</t>
  </si>
  <si>
    <t>Situationsbewertung</t>
  </si>
  <si>
    <t>•</t>
  </si>
  <si>
    <t>Fortgeschrittener, autodidaktischer Hand-Balancer (1,90 m, ~80,8 kg). Skills von Canes auf den Boden uebertragen.</t>
  </si>
  <si>
    <t>Erster Performance-Block nach 6-Monats-Diaet (90 -&gt; ~81 kg). Maintenance, KEIN Defizit, begrenzte Recovery.</t>
  </si>
  <si>
    <t>OAHS: links stabil, rechts limitiert (Schulter-Mobility/Koordination). Unilaterale Arbeit leicht zugunsten rechts.</t>
  </si>
  <si>
    <t>90 Push-up: 1 saubere Rep meist gut, 2. Rep sehr schwer. Ziel = 3 saubere Reps am Stueck.</t>
  </si>
  <si>
    <t>Ruecken (a) LWS/sakral: alte Reizung nach RDL/Deadlift, am Ausheilen -&gt; Hinge-Rebuild ueber Pain-Gates.</t>
  </si>
  <si>
    <t>Ruecken (b) BWS: Einklemm-Gefuehl mittig/oben, ohne Ausstrahlen -&gt; Mobility-/Tissue-Baustein, monitoren, KEINE Diagnose.</t>
  </si>
  <si>
    <t>Prinzip: Skill-Qualitaet + Gelenk-/Rueckengesundheit schlagen Volumen und Fatigue-PRs.</t>
  </si>
  <si>
    <t>Zielhierarchie (skill-first; Gesundheit als Constraint)</t>
  </si>
  <si>
    <t>1) 90 Push-up -&gt; 3 saubere Reps am Stueck (Hauptziel).</t>
  </si>
  <si>
    <t>2) OAHS Shapes + Flag-Pfad (Straddle -&gt; Shapes; supported Pre-Flag -&gt; Sideline-Hold -&gt; reduzierter Support -&gt; seltene freie Versuche).</t>
  </si>
  <si>
    <t>3) Modern-Handstand-Linie und weitere Shapes (Flieger/Figa offen, Fernziel, nicht erzwingen).</t>
  </si>
  <si>
    <t>4) Kraftunterbau (Planche/Push/Pull) als Mittel zum Zweck fuer 1-3.</t>
  </si>
  <si>
    <t>5) Hypertrophie nur soweit sie Skills oder Schultergesundheit stuetzt.</t>
  </si>
  <si>
    <t>Wochen-Themen &amp; Volumen-Leitplanken (effektive harte Saetze/Woche)</t>
  </si>
  <si>
    <t>Woche / Thema</t>
  </si>
  <si>
    <t>Push*</t>
  </si>
  <si>
    <t>Pull/Upper-Back</t>
  </si>
  <si>
    <t>Beine</t>
  </si>
  <si>
    <t>90-Touches</t>
  </si>
  <si>
    <t>OAHS-Bloecke</t>
  </si>
  <si>
    <t>Planche-Dosen</t>
  </si>
  <si>
    <t>W1 Re-Entry / Baseline</t>
  </si>
  <si>
    <t>12-14</t>
  </si>
  <si>
    <t>14-16</t>
  </si>
  <si>
    <t>8-10</t>
  </si>
  <si>
    <t>3 (1 schwer / 2 leicht)</t>
  </si>
  <si>
    <t>3</t>
  </si>
  <si>
    <t>2</t>
  </si>
  <si>
    <t>W2 Build</t>
  </si>
  <si>
    <t>16-18</t>
  </si>
  <si>
    <t>10-12</t>
  </si>
  <si>
    <t>2-3</t>
  </si>
  <si>
    <t>W3 Peak</t>
  </si>
  <si>
    <t>15-16</t>
  </si>
  <si>
    <t>17-18</t>
  </si>
  <si>
    <t>3 (1 schwer / 2 assist)</t>
  </si>
  <si>
    <t>W4 Consolidate / Test</t>
  </si>
  <si>
    <t>9-12</t>
  </si>
  <si>
    <t>6-8</t>
  </si>
  <si>
    <t>2 (Quality-Test)</t>
  </si>
  <si>
    <t>beste Holds</t>
  </si>
  <si>
    <t>1</t>
  </si>
  <si>
    <t>*Push zaehlt 90, Planche, Dips, HSPU, Vertikalpress zusammen. Taegliche Skill-Mikrodosis zaehlt NICHT ins harte Volumen.</t>
  </si>
  <si>
    <t>Live-Metriken (Formeln aus Log / Weekly_Summary)</t>
  </si>
  <si>
    <t>Metrik</t>
  </si>
  <si>
    <t>Wert</t>
  </si>
  <si>
    <t>Target</t>
  </si>
  <si>
    <t>Interpretation</t>
  </si>
  <si>
    <t>Action</t>
  </si>
  <si>
    <t>Geloggte Zeilen gesamt</t>
  </si>
  <si>
    <t>wachsend</t>
  </si>
  <si>
    <t>Taeglich 1 Zeile/Uebung anhaengen.</t>
  </si>
  <si>
    <t>Durchschnitt TopRPE (Block)</t>
  </si>
  <si>
    <t>7,0-8,5</t>
  </si>
  <si>
    <t>Wenn dauerhaft &gt;8,5: Akzessorik kuerzen, Skill frisch halten.</t>
  </si>
  <si>
    <t>Durchschnitt Pain (Block)</t>
  </si>
  <si>
    <t>&lt;2,5</t>
  </si>
  <si>
    <t>Pain &gt;3 oder Morgen schlechter -&gt; Stufe runter (Rules).</t>
  </si>
  <si>
    <t>Pain-Flags &gt;=4</t>
  </si>
  <si>
    <t>0</t>
  </si>
  <si>
    <t>Scharf/neurologisch -&gt; Uebung stoppen.</t>
  </si>
  <si>
    <t>Saubere 90-Reps gesamt</t>
  </si>
  <si>
    <t>Trend hoch</t>
  </si>
  <si>
    <t>Ziel: Rep 1 submaximal -&gt; Weg zu 3 sauberen Reps.</t>
  </si>
  <si>
    <t>OAHS Best-Hold links (s)</t>
  </si>
  <si>
    <t>Nur saubere Holds zaehlen.</t>
  </si>
  <si>
    <t>OAHS Best-Hold rechts (s)</t>
  </si>
  <si>
    <t>naeher an links</t>
  </si>
  <si>
    <t>Rechts mehr Reps/Holds, Overhead/BWS-Mobility.</t>
  </si>
  <si>
    <t>Flag Best-Hold links (s)</t>
  </si>
  <si>
    <t>Support nur bei sauberem Re-Entry senken.</t>
  </si>
  <si>
    <t>Flag Best-Hold rechts (s)</t>
  </si>
  <si>
    <t>Kontrollierter Return Pflicht.</t>
  </si>
  <si>
    <t>B6 — Schedule (4 Wochen x 5 Tage + taegliche Skill-Mikrodosis)</t>
  </si>
  <si>
    <t>Jede Einheit startet mit Skill-Mikrodosis (8-15 min). Keine Max-Versuche an Nicht-Skill-Tagen. Skill nie ans Ende ermuedeter Sessions.</t>
  </si>
  <si>
    <t>Woche</t>
  </si>
  <si>
    <t>Tag</t>
  </si>
  <si>
    <t>Day Type</t>
  </si>
  <si>
    <t>Main Focus</t>
  </si>
  <si>
    <t>Skill-Touchpoint</t>
  </si>
  <si>
    <t>Strength</t>
  </si>
  <si>
    <t>Back/Hinge-Stress</t>
  </si>
  <si>
    <t>Placement</t>
  </si>
  <si>
    <t>Progression-Target</t>
  </si>
  <si>
    <t>Notes</t>
  </si>
  <si>
    <t>W1 Re-Entry/Baseline</t>
  </si>
  <si>
    <t>T1</t>
  </si>
  <si>
    <t>90 Heavy + OAHS Line + Vertikalkraft</t>
  </si>
  <si>
    <t>OAHS Line/Weight-Shift + 2-3 saubere Holds/Seite</t>
  </si>
  <si>
    <t>90 Cluster (Singles-&gt;Double) + Pseudo-Planche/Planche-Hold + Weighted Pull-up + Scap/AR</t>
  </si>
  <si>
    <t>niedrig (kein Hinge)</t>
  </si>
  <si>
    <t>nach Ruhe-/Low-Tag (hoechster CNS-Tag)</t>
  </si>
  <si>
    <t>Baseline: 90 4 Saetze x1, RPE&lt;=8; Holds Qualitaet finden</t>
  </si>
  <si>
    <t>Skill-Mikrodosis zuerst; bei Qualitaetsverlust 90 -&gt; erst Push-Akzessorik kuerzen</t>
  </si>
  <si>
    <t>T2</t>
  </si>
  <si>
    <t>OAHS Shapes + Pull-Volumen</t>
  </si>
  <si>
    <t>OAHS Shape-Density (Straddle-&gt;Half/Diamond), nur saubere Holds</t>
  </si>
  <si>
    <t>Chest-supported/Seal Row + Pull-up/Pulldown + Rear-Delt/Face Pull + Hollow/Compression</t>
  </si>
  <si>
    <t>niedrig (kein LWS-Reiz)</t>
  </si>
  <si>
    <t>Pull-Schwerpunkt, Skill frisch</t>
  </si>
  <si>
    <t>Shape-Baseline, saubere Straddle-Holds zaehlen</t>
  </si>
  <si>
    <t>T3</t>
  </si>
  <si>
    <t>Beine (wirbelsaeulen-freundlich) + Core + BWS-Mobility</t>
  </si>
  <si>
    <t>nur Line, keine Max-Versuche</t>
  </si>
  <si>
    <t>BSS/FFE Split Squat + Leg Press/Hack/Belt + Ham Curl + Calves + Pallof/Dead Bug/Side Plank</t>
  </si>
  <si>
    <t>Gate-gesteuert: Hinge mit Dowel -&gt; entscheidet den Tag; KEIN schwerer Hinge</t>
  </si>
  <si>
    <t>BWS-Mobility-Block fix (Extension/Rotation, ribs down, Atmung)</t>
  </si>
  <si>
    <t>Hinge-Gate testen (Level), Lasten konservativ</t>
  </si>
  <si>
    <t>T4</t>
  </si>
  <si>
    <t>OAHS Flag/Transitions + 90 Light/Assisted</t>
  </si>
  <si>
    <t>Laengeres Warm-up + Side-Body-Aktivierung</t>
  </si>
  <si>
    <t>Supported Pre-Flag-Lean + Sideline/Mini-Flag + 90 leicht/Negativ+Pause + Vertikalpress + OA/Chest Row</t>
  </si>
  <si>
    <t>niedrig (ribs down, kein LWS-Arch)</t>
  </si>
  <si>
    <t>Support nur reduzieren wenn Re-Entry sauber</t>
  </si>
  <si>
    <t>Support hoch, Flag-Geometrie lernen</t>
  </si>
  <si>
    <t>T5</t>
  </si>
  <si>
    <t>Upper Hypertrophy (getrimmt) + 3. 90-Mikrodosis</t>
  </si>
  <si>
    <t>90 Technik/Negativ-Mikro (low volume, sauber)</t>
  </si>
  <si>
    <t>Push-Pump (Ring-Dips/Maschine/Deficit) + Pull-Pump (Row+Pulldown/Chin) + Schultern + Arme opt.</t>
  </si>
  <si>
    <t>niedrig</t>
  </si>
  <si>
    <t>BWS-Mobility + Lat/Pec/Forearm + Atmung-Downshift</t>
  </si>
  <si>
    <t>Pump leicht, Technik 90 Negativ</t>
  </si>
  <si>
    <t>90 5 Saetze, Cluster 1-&gt;Double anpeilen, RPE 8-8,5</t>
  </si>
  <si>
    <t>Shape-Density +1 Block, Uebergang Half-Straddle</t>
  </si>
  <si>
    <t>Hinge ggf. Level +1, Beinlast +</t>
  </si>
  <si>
    <t>Support leicht reduzieren wenn sauber</t>
  </si>
  <si>
    <t>Pump +1-2 Saetze, 90 Negativ +Pause</t>
  </si>
  <si>
    <t>90 Peak: saubere Double in 1-2 Saetzen, RPE&lt;=8,5 (kein Failure)</t>
  </si>
  <si>
    <t>beste Shapes konsolidieren, Diamond/Legs-together-Prep</t>
  </si>
  <si>
    <t>Beinlast Peak, Hinge halten (nicht steigern wenn Pain)</t>
  </si>
  <si>
    <t>Mini-Flag-Hold laenger, seltene reduzierte Supports</t>
  </si>
  <si>
    <t>Pump Peak getrimmt, 90 Technik scharf</t>
  </si>
  <si>
    <t>W4 Consolidate/Test</t>
  </si>
  <si>
    <t>Quality-Test: saubere Reps/Holds beweisen, Volumen runter</t>
  </si>
  <si>
    <t>beste Holds testen, kein Grind</t>
  </si>
  <si>
    <t>Deload Beine, Mobility-Fokus</t>
  </si>
  <si>
    <t>beste Flag-Holds dokumentieren</t>
  </si>
  <si>
    <t>Mini-Dosis, Regeneration</t>
  </si>
  <si>
    <t>B6 — Plan Detail (Uebungsbloecke je Tag T1-T5)</t>
  </si>
  <si>
    <t>W1-W4 = Saetze x Reps/Holds je Woche. Skill immer zuerst, nie ermuedet.</t>
  </si>
  <si>
    <t>Block</t>
  </si>
  <si>
    <t>Uebung/Drill</t>
  </si>
  <si>
    <t>W1</t>
  </si>
  <si>
    <t>W2</t>
  </si>
  <si>
    <t>W3</t>
  </si>
  <si>
    <t>W4</t>
  </si>
  <si>
    <t>RPE/Quality</t>
  </si>
  <si>
    <t>Rest</t>
  </si>
  <si>
    <t>Progression/Gate</t>
  </si>
  <si>
    <t>Back-Rule</t>
  </si>
  <si>
    <t>ALLE</t>
  </si>
  <si>
    <t>Warm-up</t>
  </si>
  <si>
    <t>Wrist Prep + Handgelenks-Kraeftigung</t>
  </si>
  <si>
    <t>1 Block</t>
  </si>
  <si>
    <t>Qual 4-5</t>
  </si>
  <si>
    <t>-</t>
  </si>
  <si>
    <t>fix vor jeder Einheit</t>
  </si>
  <si>
    <t>neutral</t>
  </si>
  <si>
    <t>wegen hoher Handstand-Last</t>
  </si>
  <si>
    <t>Skill-Mikrodosis</t>
  </si>
  <si>
    <t>HS Line/Balance</t>
  </si>
  <si>
    <t>8-15 min</t>
  </si>
  <si>
    <t>kurz</t>
  </si>
  <si>
    <t>Frequenz &gt; Intensitaet</t>
  </si>
  <si>
    <t>ribs down</t>
  </si>
  <si>
    <t>keine Max-Versuche an Nicht-Skill-Tagen</t>
  </si>
  <si>
    <t>OAHS Line / Weight-Shift</t>
  </si>
  <si>
    <t>taeglich, nur sauber</t>
  </si>
  <si>
    <t>rechts leicht bevorzugen</t>
  </si>
  <si>
    <t>Skill</t>
  </si>
  <si>
    <t>OAHS Line + 2-3 saubere Holds/Seite</t>
  </si>
  <si>
    <t>3/Seite</t>
  </si>
  <si>
    <t>2 (Test)</t>
  </si>
  <si>
    <t>60-90s</t>
  </si>
  <si>
    <t>nur saubere Holds zaehlen</t>
  </si>
  <si>
    <t>rechts ggf. +1 Hold</t>
  </si>
  <si>
    <t>T1 Haupt</t>
  </si>
  <si>
    <t>90 Heavy — Cluster Singles-&gt;Double</t>
  </si>
  <si>
    <t>4x1</t>
  </si>
  <si>
    <t>5x1</t>
  </si>
  <si>
    <t>2x2 / Rest 1</t>
  </si>
  <si>
    <t>Quality-Test</t>
  </si>
  <si>
    <t>RPE 8-8,5</t>
  </si>
  <si>
    <t>2-3 min</t>
  </si>
  <si>
    <t>immer 1 Rep VOR Formverlust stoppen; nie Failure default</t>
  </si>
  <si>
    <t>kein Arch, ribs down</t>
  </si>
  <si>
    <t>Weg zu 3: Kraftdach + Cluster + Hebel</t>
  </si>
  <si>
    <t>Planche</t>
  </si>
  <si>
    <t>Pseudo-Planche Push-up ODER Adv-Tuck/Straddle Hold</t>
  </si>
  <si>
    <t>3x6-8 / 3x8-12s</t>
  </si>
  <si>
    <t>RPE 7-8</t>
  </si>
  <si>
    <t>2 min</t>
  </si>
  <si>
    <t>Straight-Arm-Fokus; Lean/Hold steigern</t>
  </si>
  <si>
    <t>Schluessel-Assistance fuer 90</t>
  </si>
  <si>
    <t>Vertikal-Pull</t>
  </si>
  <si>
    <t>Weighted Pull-up</t>
  </si>
  <si>
    <t>4x4</t>
  </si>
  <si>
    <t>4-5x3-5</t>
  </si>
  <si>
    <t>5x3</t>
  </si>
  <si>
    <t>3x3</t>
  </si>
  <si>
    <t>Last +, Reps sauber</t>
  </si>
  <si>
    <t>Zug-Kraftbasis</t>
  </si>
  <si>
    <t>Schulter-Hygiene</t>
  </si>
  <si>
    <t>Scap/Serratus + External Rotation</t>
  </si>
  <si>
    <t>2x10-15</t>
  </si>
  <si>
    <t>RPE 6</t>
  </si>
  <si>
    <t>45-60s</t>
  </si>
  <si>
    <t>Qualitaet, kein Ego</t>
  </si>
  <si>
    <t>Schultergesundheit</t>
  </si>
  <si>
    <t>OAHS Shape-Density (Straddle-&gt;Half/Diamond)</t>
  </si>
  <si>
    <t>3 Bloecke</t>
  </si>
  <si>
    <t>nur saubere Holds; Progression der Form</t>
  </si>
  <si>
    <t>rechts priorisieren</t>
  </si>
  <si>
    <t>Haupt-Zug</t>
  </si>
  <si>
    <t>Chest-supported / Seal Row</t>
  </si>
  <si>
    <t>3x10-12</t>
  </si>
  <si>
    <t>4x10-12</t>
  </si>
  <si>
    <t>4x8-10</t>
  </si>
  <si>
    <t>2x10</t>
  </si>
  <si>
    <t>90s</t>
  </si>
  <si>
    <t>Last/Reps +</t>
  </si>
  <si>
    <t>brustgestuetzt, kein LWS-Reiz</t>
  </si>
  <si>
    <t>oberer Ruecken</t>
  </si>
  <si>
    <t>Vertikal-Zug</t>
  </si>
  <si>
    <t>Pull-up / Lat Pulldown Volumen</t>
  </si>
  <si>
    <t>3x8-10</t>
  </si>
  <si>
    <t>4x6-8</t>
  </si>
  <si>
    <t>2x8</t>
  </si>
  <si>
    <t>Volumen steuern</t>
  </si>
  <si>
    <t>Lat-Volumen</t>
  </si>
  <si>
    <t>Schulter</t>
  </si>
  <si>
    <t>Rear-Delt Fly + Face Pull</t>
  </si>
  <si>
    <t>2-3x12-15</t>
  </si>
  <si>
    <t>RPE 6-7</t>
  </si>
  <si>
    <t>Qualitaet</t>
  </si>
  <si>
    <t>hintere Schulter/Rotatoren</t>
  </si>
  <si>
    <t>Core</t>
  </si>
  <si>
    <t>Hollow / Compression</t>
  </si>
  <si>
    <t>3x20-30s</t>
  </si>
  <si>
    <t>Qual 4</t>
  </si>
  <si>
    <t>45s</t>
  </si>
  <si>
    <t>Spannung halten</t>
  </si>
  <si>
    <t>KEIN LWS-Reiz</t>
  </si>
  <si>
    <t>Compression fuer Shapes</t>
  </si>
  <si>
    <t>Status/Gate</t>
  </si>
  <si>
    <t>Hinge-Pattern mit Dowel (Status-Check)</t>
  </si>
  <si>
    <t>2-3 Reps</t>
  </si>
  <si>
    <t>Pain-Gate</t>
  </si>
  <si>
    <t>Gate entscheidet Tag (Rules)</t>
  </si>
  <si>
    <t>Pain &gt;3 -&gt; regredieren</t>
  </si>
  <si>
    <t>LWS + BWS Status</t>
  </si>
  <si>
    <t>Bein uni</t>
  </si>
  <si>
    <t>Bulgarian / FFE Split Squat</t>
  </si>
  <si>
    <t>3x8-10/Seite</t>
  </si>
  <si>
    <t>4x8</t>
  </si>
  <si>
    <t>Last +, Tiefe sauber</t>
  </si>
  <si>
    <t>wirbelsaeulen-neutral</t>
  </si>
  <si>
    <t>Quad/Glute</t>
  </si>
  <si>
    <t>Bein bi</t>
  </si>
  <si>
    <t>Leg Press / Hack / Belt Squat</t>
  </si>
  <si>
    <t>4x10</t>
  </si>
  <si>
    <t>2x12</t>
  </si>
  <si>
    <t>Last +</t>
  </si>
  <si>
    <t>kein axialer Grind</t>
  </si>
  <si>
    <t>Post. Kette</t>
  </si>
  <si>
    <t>Hamstring Curl + (gated) leichte post. Kette</t>
  </si>
  <si>
    <t>RPE 7</t>
  </si>
  <si>
    <t>75s</t>
  </si>
  <si>
    <t>Hip-Thrust nur schmerzfrei; KEIN schwerer Hinge</t>
  </si>
  <si>
    <t>Gate</t>
  </si>
  <si>
    <t>Hamstrings/Glute</t>
  </si>
  <si>
    <t>Bein</t>
  </si>
  <si>
    <t>Calves</t>
  </si>
  <si>
    <t>3x12-15</t>
  </si>
  <si>
    <t>Waden</t>
  </si>
  <si>
    <t>BWS-Mobility</t>
  </si>
  <si>
    <t>BWS Extension/Rotation, ribs down, Atmung</t>
  </si>
  <si>
    <t>fix; Protokoll in Rules</t>
  </si>
  <si>
    <t>Einklemm-Thema monitoren</t>
  </si>
  <si>
    <t>kein Ausstrahlen = ok</t>
  </si>
  <si>
    <t>Pallof + Dead Bug + Side Plank</t>
  </si>
  <si>
    <t>2-3 je</t>
  </si>
  <si>
    <t>Anti-Ext/Anti-Rot/Anti-Lat</t>
  </si>
  <si>
    <t>Anti-Flexion</t>
  </si>
  <si>
    <t>LWS-schonend</t>
  </si>
  <si>
    <t>Laenger + Side-Body-Aktivierung</t>
  </si>
  <si>
    <t>vor Flag noetig</t>
  </si>
  <si>
    <t>Verletzungsschutz</t>
  </si>
  <si>
    <t>Flag</t>
  </si>
  <si>
    <t>Supported Pre-Flag-Lean</t>
  </si>
  <si>
    <t>4 Entries/Seite</t>
  </si>
  <si>
    <t>4</t>
  </si>
  <si>
    <t>4-5</t>
  </si>
  <si>
    <t>beste</t>
  </si>
  <si>
    <t>kontrolliert</t>
  </si>
  <si>
    <t>Flag-Pfad</t>
  </si>
  <si>
    <t>Sideline / Mini-Flag-Hold + kontrollierter Return</t>
  </si>
  <si>
    <t>3-4</t>
  </si>
  <si>
    <t>Hold-Zeit/Support progressiv</t>
  </si>
  <si>
    <t>kontrollierter Return</t>
  </si>
  <si>
    <t>seltene freie Versuche spaeter</t>
  </si>
  <si>
    <t>90 Light</t>
  </si>
  <si>
    <t>90 leicht/assistiert ODER Negativ+Pause</t>
  </si>
  <si>
    <t>3-4x2-3</t>
  </si>
  <si>
    <t>4x2-3</t>
  </si>
  <si>
    <t>4x2</t>
  </si>
  <si>
    <t>2x2</t>
  </si>
  <si>
    <t>sauberes Volumen, KEIN Failure</t>
  </si>
  <si>
    <t>2. Wochendosis 90</t>
  </si>
  <si>
    <t>Vertikal-Press</t>
  </si>
  <si>
    <t>Wall-HSPU / Pike / DB</t>
  </si>
  <si>
    <t>3x5-8</t>
  </si>
  <si>
    <t>3x6-8</t>
  </si>
  <si>
    <t>4x6</t>
  </si>
  <si>
    <t>2x6</t>
  </si>
  <si>
    <t>ribs down, kein LWS-Arch</t>
  </si>
  <si>
    <t>kein Arch</t>
  </si>
  <si>
    <t>Vertikalkraft</t>
  </si>
  <si>
    <t>Zug-Balance</t>
  </si>
  <si>
    <t>One-Arm / Chest-supported Row</t>
  </si>
  <si>
    <t>3x10/Seite</t>
  </si>
  <si>
    <t>rechts ggf. +</t>
  </si>
  <si>
    <t>gestuetzt</t>
  </si>
  <si>
    <t>90 Mikro</t>
  </si>
  <si>
    <t>90 Technik/Negativ-Mikro</t>
  </si>
  <si>
    <t>3x2</t>
  </si>
  <si>
    <t>3x2-3</t>
  </si>
  <si>
    <t>RPE 6-7 / Qual 4-5</t>
  </si>
  <si>
    <t>3. Wochendosis, low volume, sauber</t>
  </si>
  <si>
    <t>Technik scharf halten</t>
  </si>
  <si>
    <t>Push-Pump</t>
  </si>
  <si>
    <t>Ring-Dips / Maschine / Deficit Push-up</t>
  </si>
  <si>
    <t>3-4x10-12</t>
  </si>
  <si>
    <t>getrimmt; bei Skill-Abfall zuerst kuerzen</t>
  </si>
  <si>
    <t>Push-Hypertrophie</t>
  </si>
  <si>
    <t>Pull-Pump</t>
  </si>
  <si>
    <t>Row + Pulldown/Chin</t>
  </si>
  <si>
    <t>komplettiert Wochen-Zug</t>
  </si>
  <si>
    <t>Pull-Hypertrophie</t>
  </si>
  <si>
    <t>Lateral Raise + Rear-Delt</t>
  </si>
  <si>
    <t>getrimmt</t>
  </si>
  <si>
    <t>Schultern</t>
  </si>
  <si>
    <t>Arme opt.</t>
  </si>
  <si>
    <t>Biceps / Triceps</t>
  </si>
  <si>
    <t>optional, nur wenn Recovery ok</t>
  </si>
  <si>
    <t>Arme</t>
  </si>
  <si>
    <t>Regen</t>
  </si>
  <si>
    <t>Downshift Parasympathikus</t>
  </si>
  <si>
    <t>BWS-Pflege</t>
  </si>
  <si>
    <t>Recovery</t>
  </si>
  <si>
    <t>B6 — Exercise Library (Referenz fuer Voice-Logging)</t>
  </si>
  <si>
    <t>Aliase Komma-getrennt, deutsch + englisch. Logging mappt gesprochene Begriffe auf ExerciseID. TracksLoad/Hold/Side = J/N.</t>
  </si>
  <si>
    <t>ExerciseID</t>
  </si>
  <si>
    <t>Aliases</t>
  </si>
  <si>
    <t>DisplayName</t>
  </si>
  <si>
    <t>Category</t>
  </si>
  <si>
    <t>MuscleTag</t>
  </si>
  <si>
    <t>TracksLoad</t>
  </si>
  <si>
    <t>TracksHold</t>
  </si>
  <si>
    <t>TracksSide</t>
  </si>
  <si>
    <t>90</t>
  </si>
  <si>
    <t>neunzig grad,90,90 grad,90 grad liegestuetz,ninety,90 degree push up,neunzig</t>
  </si>
  <si>
    <t>90 Degree Push-up</t>
  </si>
  <si>
    <t>Skill90</t>
  </si>
  <si>
    <t>Brust/Schulter/Planche</t>
  </si>
  <si>
    <t>N</t>
  </si>
  <si>
    <t>OAHS_line</t>
  </si>
  <si>
    <t>oahs,oahs line,einarmiger handstand,one arm handstand,weight shift,gewichtsverlagerung,oahs holds</t>
  </si>
  <si>
    <t>OAHS Line / Weight-Shift / Holds</t>
  </si>
  <si>
    <t>SkillOAHS</t>
  </si>
  <si>
    <t>Schulter/Core/Balance</t>
  </si>
  <si>
    <t>J</t>
  </si>
  <si>
    <t>OAHS_shapes</t>
  </si>
  <si>
    <t>oahs shapes,straddle,half straddle,diamond,legs together,oahs formen,shape density</t>
  </si>
  <si>
    <t>OAHS Shape-Density</t>
  </si>
  <si>
    <t>HS_line</t>
  </si>
  <si>
    <t>handstand,handstand line,hs line,modern line,balance,handstand balance,linie</t>
  </si>
  <si>
    <t>Handstand Line / Balance</t>
  </si>
  <si>
    <t>OAHS_flag_supported</t>
  </si>
  <si>
    <t>supported flag,pre flag,supported pre flag,flag supported,unterstuetzter flag,pre flag lean</t>
  </si>
  <si>
    <t>Supported Pre-Flag Lean</t>
  </si>
  <si>
    <t>SkillFlag</t>
  </si>
  <si>
    <t>Schulter/Side-Body</t>
  </si>
  <si>
    <t>flag_sideline</t>
  </si>
  <si>
    <t>sideline,sideline hold,mini flag,flag hold,flag,seitlicher flag</t>
  </si>
  <si>
    <t>Sideline / Mini-Flag Hold</t>
  </si>
  <si>
    <t>pseudo_planche_pushup</t>
  </si>
  <si>
    <t>pseudo planche,pseudo planche push up,ppp,pseudo planche liegestuetz</t>
  </si>
  <si>
    <t>Pseudo-Planche Push-up</t>
  </si>
  <si>
    <t>Schulter/Brust</t>
  </si>
  <si>
    <t>planche_lean</t>
  </si>
  <si>
    <t>planche lean,lean,planche neigung,plankenlean</t>
  </si>
  <si>
    <t>Planche Lean</t>
  </si>
  <si>
    <t>Schulter/Core</t>
  </si>
  <si>
    <t>planche_hold</t>
  </si>
  <si>
    <t>planche hold,tuck planche,advanced tuck,adv tuck,straddle planche,planche halten</t>
  </si>
  <si>
    <t>Planche Hold (Tuck/Adv/Straddle)</t>
  </si>
  <si>
    <t>WPU</t>
  </si>
  <si>
    <t>weighted pull up,wpu,gewichtetes klimmziehen,klimmzug mit gewicht,weighted pullup</t>
  </si>
  <si>
    <t>Pull</t>
  </si>
  <si>
    <t>Lat/Biceps</t>
  </si>
  <si>
    <t>pullup</t>
  </si>
  <si>
    <t>pull up,pullup,klimmzug,klimmziehen</t>
  </si>
  <si>
    <t>Pull-up</t>
  </si>
  <si>
    <t>chin_up</t>
  </si>
  <si>
    <t>chin up,chinup,kinnzug,unterhand klimmzug</t>
  </si>
  <si>
    <t>Chin-up</t>
  </si>
  <si>
    <t>lat_pulldown</t>
  </si>
  <si>
    <t>lat pulldown,pulldown,latzug,latziehen</t>
  </si>
  <si>
    <t>Lat Pulldown</t>
  </si>
  <si>
    <t>Lat</t>
  </si>
  <si>
    <t>chest_row</t>
  </si>
  <si>
    <t>chest supported row,seal row,brustgestuetztes rudern,rudern gestuetzt</t>
  </si>
  <si>
    <t>Chest-Supported / Seal Row</t>
  </si>
  <si>
    <t>Oberer Ruecken</t>
  </si>
  <si>
    <t>oa_row</t>
  </si>
  <si>
    <t>one arm row,einarmiges rudern,oa row,unilateral row</t>
  </si>
  <si>
    <t>One-Arm Row</t>
  </si>
  <si>
    <t>rear_delt_fly</t>
  </si>
  <si>
    <t>rear delt fly,reverse fly,hintere schulter,rear delt</t>
  </si>
  <si>
    <t>Rear-Delt Fly</t>
  </si>
  <si>
    <t>Hintere Schulter</t>
  </si>
  <si>
    <t>face_pull</t>
  </si>
  <si>
    <t>face pull,facepull,gesichtszug</t>
  </si>
  <si>
    <t>Face Pull</t>
  </si>
  <si>
    <t>Hintere Schulter/Rotatoren</t>
  </si>
  <si>
    <t>scap_serratus</t>
  </si>
  <si>
    <t>scap,serratus,scapula,schulterblatt,scap pull,serratus push</t>
  </si>
  <si>
    <t>Scap / Serratus</t>
  </si>
  <si>
    <t>Mobility</t>
  </si>
  <si>
    <t>Schulterblatt</t>
  </si>
  <si>
    <t>ext_rotation</t>
  </si>
  <si>
    <t>external rotation,aussenrotation,ar,rotatorenmanschette,cuff</t>
  </si>
  <si>
    <t>External Rotation</t>
  </si>
  <si>
    <t>Rotatorenmanschette</t>
  </si>
  <si>
    <t>wall_hspu</t>
  </si>
  <si>
    <t>wall hspu,hspu,handstand push up,handstand liegestuetz,wand hspu</t>
  </si>
  <si>
    <t>Wall HSPU</t>
  </si>
  <si>
    <t>Push</t>
  </si>
  <si>
    <t>Schulter/Trizeps</t>
  </si>
  <si>
    <t>pike_press</t>
  </si>
  <si>
    <t>pike press,pike push up,db press,schulterdruecken,overhead press,ohp,pike</t>
  </si>
  <si>
    <t>Pike / DB Vertical Press</t>
  </si>
  <si>
    <t>ring_dips</t>
  </si>
  <si>
    <t>ring dips,dips,barren,ringdips</t>
  </si>
  <si>
    <t>Ring Dips / Dips</t>
  </si>
  <si>
    <t>Brust/Trizeps</t>
  </si>
  <si>
    <t>deficit_pushup</t>
  </si>
  <si>
    <t>deficit push up,deficit pushup,liegestuetz deficit,push up,liegestuetz</t>
  </si>
  <si>
    <t>Deficit Push-up</t>
  </si>
  <si>
    <t>lateral_raise</t>
  </si>
  <si>
    <t>lateral raise,seitheben,lat raise,seitliches heben</t>
  </si>
  <si>
    <t>Lateral Raise</t>
  </si>
  <si>
    <t>Seitliche Schulter</t>
  </si>
  <si>
    <t>triceps</t>
  </si>
  <si>
    <t>triceps,trizeps,trizepsdruecken,pushdown</t>
  </si>
  <si>
    <t>Triceps</t>
  </si>
  <si>
    <t>Trizeps</t>
  </si>
  <si>
    <t>biceps</t>
  </si>
  <si>
    <t>biceps,bizeps,curl,bizeps curl</t>
  </si>
  <si>
    <t>Biceps</t>
  </si>
  <si>
    <t>Bizeps</t>
  </si>
  <si>
    <t>bss</t>
  </si>
  <si>
    <t>bulgarian,bulgarian split squat,bss,split squat,ausfallschritt,ffe split squat,front foot elevated</t>
  </si>
  <si>
    <t>Legs</t>
  </si>
  <si>
    <t>leg_press</t>
  </si>
  <si>
    <t>leg press,beinpresse,hack squat,hack,belt squat,guertelkniebeuge</t>
  </si>
  <si>
    <t>ham_curl</t>
  </si>
  <si>
    <t>hamstring curl,beinbeuger,leg curl,beincurl</t>
  </si>
  <si>
    <t>Hamstring Curl</t>
  </si>
  <si>
    <t>Hamstrings</t>
  </si>
  <si>
    <t>hip_thrust</t>
  </si>
  <si>
    <t>hip thrust,hueftstoss,glute bridge,hueftheben</t>
  </si>
  <si>
    <t>Hip Thrust</t>
  </si>
  <si>
    <t>Glute</t>
  </si>
  <si>
    <t>back_ext_iso</t>
  </si>
  <si>
    <t>back extension,rueckenstrecker,back ext iso,hyperextension,iso hold ruecken</t>
  </si>
  <si>
    <t>Back-Extension Iso</t>
  </si>
  <si>
    <t>Posteriore Kette/LWS</t>
  </si>
  <si>
    <t>calves</t>
  </si>
  <si>
    <t>calves,waden,wadenheben,calf raise</t>
  </si>
  <si>
    <t>hinge_pattern</t>
  </si>
  <si>
    <t>hinge,hinge pattern,dowel hinge,hueftbeuge,rdl pattern,deadlift pattern,scharnier</t>
  </si>
  <si>
    <t>Hinge Pattern (Dowel/Rebuild)</t>
  </si>
  <si>
    <t>pallof</t>
  </si>
  <si>
    <t>pallof,pallof press,anti rotation</t>
  </si>
  <si>
    <t>Pallof Press</t>
  </si>
  <si>
    <t>Anti-Rotation</t>
  </si>
  <si>
    <t>dead_bug</t>
  </si>
  <si>
    <t>dead bug,deadbug,toter kaefer</t>
  </si>
  <si>
    <t>Dead Bug</t>
  </si>
  <si>
    <t>Anti-Extension</t>
  </si>
  <si>
    <t>side_plank</t>
  </si>
  <si>
    <t>side plank,seitstuetz,seitlicher unterarmstuetz</t>
  </si>
  <si>
    <t>Side Plank</t>
  </si>
  <si>
    <t>Lateral/Anti-Lateral</t>
  </si>
  <si>
    <t>hollow</t>
  </si>
  <si>
    <t>hollow,hollow hold,hollow body,compression,kompression,hohlkreuz hold</t>
  </si>
  <si>
    <t>Hollow / Compression Core</t>
  </si>
  <si>
    <t>Anteriore Kette</t>
  </si>
  <si>
    <t>bws_mobility</t>
  </si>
  <si>
    <t>bws,bws mobility,brustwirbelsaeule,thoracic,t spine,extension rotation,ribs down,atmung,downshift</t>
  </si>
  <si>
    <t>BWS / Thoracic Mobility</t>
  </si>
  <si>
    <t>BWS/Atmung</t>
  </si>
  <si>
    <t>wrist_prep</t>
  </si>
  <si>
    <t>wrist prep,handgelenk,handgelenk prep,handgelenke,wrist warm up,wrist</t>
  </si>
  <si>
    <t>Wrist Prep</t>
  </si>
  <si>
    <t>Wrist</t>
  </si>
  <si>
    <t>Handgelenke</t>
  </si>
  <si>
    <t>wrist_strength</t>
  </si>
  <si>
    <t>wrist strength,handgelenk kraft,wrist curl,handgelenk kraeftigung</t>
  </si>
  <si>
    <t>Wrist Strengthening</t>
  </si>
  <si>
    <t>DayTypes</t>
  </si>
  <si>
    <t>Date</t>
  </si>
  <si>
    <t>DayType</t>
  </si>
  <si>
    <t>Week</t>
  </si>
  <si>
    <t>Side</t>
  </si>
  <si>
    <t>Sets</t>
  </si>
  <si>
    <t>Reps_or_Scheme</t>
  </si>
  <si>
    <t>Load_kg</t>
  </si>
  <si>
    <t>TopRPE</t>
  </si>
  <si>
    <t>Pain_0_10</t>
  </si>
  <si>
    <t>Quality_0_5</t>
  </si>
  <si>
    <t>BestHold_s</t>
  </si>
  <si>
    <t>CleanReps</t>
  </si>
  <si>
    <t>Key</t>
  </si>
  <si>
    <t>NA</t>
  </si>
  <si>
    <t>Demo-Zeile: 90 Grad schwer, je 1 saubere Rep, Handgelenk gut</t>
  </si>
  <si>
    <t>L</t>
  </si>
  <si>
    <t>OAHS, vor allem links, sauber</t>
  </si>
  <si>
    <t>R</t>
  </si>
  <si>
    <t>OAHS rechts, 3 von 5 Qualitaet</t>
  </si>
  <si>
    <t>10</t>
  </si>
  <si>
    <t>Cable Rudern; Satz 2: 70 kg x10</t>
  </si>
  <si>
    <t>12</t>
  </si>
  <si>
    <t>Kurzhanteln</t>
  </si>
  <si>
    <t>Reverse Butterfly, Supersatz</t>
  </si>
  <si>
    <t>Y-Raises, Supersatz</t>
  </si>
  <si>
    <t>Kabelzug</t>
  </si>
  <si>
    <t>OAHS Line, sehr stabile Holds links, solide</t>
  </si>
  <si>
    <t>OAHS Line rechts, stabil</t>
  </si>
  <si>
    <t>Diamond Shape, eher schwach</t>
  </si>
  <si>
    <t>4x1 Cluster, lange Pausen; keine Kraft Bottom Position; Rep2+3 sauber (RPE7-8), Rep1+4 (8-9) unsauber</t>
  </si>
  <si>
    <t>1x Advanced Tuck versucht (nicht moeglich) + 3x8s Tuck Planche; schwaecher als sonst</t>
  </si>
  <si>
    <t>1x3@40, 3x4@35</t>
  </si>
  <si>
    <t>Satz1: 40 kg x3; Satz2-4: 35 kg x4; RPE 8-9</t>
  </si>
  <si>
    <t>B6 — Nutrition Targets (Maintenance, KEIN Defizit)</t>
  </si>
  <si>
    <t>Eingaben / Konstanten</t>
  </si>
  <si>
    <t>Aktuelles Gewicht (kg)</t>
  </si>
  <si>
    <t>Zielkorridor (kg)</t>
  </si>
  <si>
    <t>80,5 - 81,0</t>
  </si>
  <si>
    <t>Protein g/kg</t>
  </si>
  <si>
    <t>Fett g/kg (Minimum)</t>
  </si>
  <si>
    <t>Maintenance Basis (kcal)</t>
  </si>
  <si>
    <t>Protein-Ziel (g) [Formel]</t>
  </si>
  <si>
    <t>Fett-Minimum (g) [Formel]</t>
  </si>
  <si>
    <t>CF: ausserhalb 80,5-81,0 wird rot markiert.</t>
  </si>
  <si>
    <t>Protein 2,1-2,3 g/kg (~170-185 g). Fett &gt;=0,8 g/kg. Rest = Carbs um Training.</t>
  </si>
  <si>
    <t>Day-Types: kcal &amp; Makros (Carbs per Formel = Rest)</t>
  </si>
  <si>
    <t>kcal-Delta</t>
  </si>
  <si>
    <t>kcal-Ziel</t>
  </si>
  <si>
    <t>Protein (g)</t>
  </si>
  <si>
    <t>Fett (g)</t>
  </si>
  <si>
    <t>Carbs (g)</t>
  </si>
  <si>
    <t>Hinweis</t>
  </si>
  <si>
    <t>T1 (CNS/heavy)</t>
  </si>
  <si>
    <t>Mini-Refeed-Option: mehr Carbs vor schwerem Skill-Tag</t>
  </si>
  <si>
    <t>Pull-Volumen, moderate Carbs</t>
  </si>
  <si>
    <t>T3 (Beine)</t>
  </si>
  <si>
    <t>Beinlast, Carbs hoch</t>
  </si>
  <si>
    <t>T4 (Flag)</t>
  </si>
  <si>
    <t>Skill-lastig, Carbs moderat-hoch</t>
  </si>
  <si>
    <t>T5 (Pump)</t>
  </si>
  <si>
    <t>Hypertrophie getrimmt</t>
  </si>
  <si>
    <t>Ruhetag, Carbs runter, Protein halten</t>
  </si>
  <si>
    <t>Anpass-Trigger</t>
  </si>
  <si>
    <t>BW &lt; 80,2 kg UND Performance runter  -&gt;  +100 bis +150 kcal (zuerst Carbs).</t>
  </si>
  <si>
    <t>BW &gt; 82 kg schnell UND Taille schlechter  -&gt;  -100 bis -150 kcal.</t>
  </si>
  <si>
    <t>Vor schweren Skill-Tagen (T1/T4): optionaler Mini-Refeed (Carbs +).</t>
  </si>
  <si>
    <t>KEIN Defizit in diesem Block — Ziel ist Performance auf Maintenance.</t>
  </si>
  <si>
    <t>B6 — Rules (Gates, Hinge-Rebuild, BWS-Protokoll, Referenzen)</t>
  </si>
  <si>
    <t>Vier-Stufen-Gates (Pain 0-10, Quality 0-5, RPE)</t>
  </si>
  <si>
    <t>Bereich</t>
  </si>
  <si>
    <t>GREEN</t>
  </si>
  <si>
    <t>YELLOW</t>
  </si>
  <si>
    <t>ORANGE</t>
  </si>
  <si>
    <t>RED</t>
  </si>
  <si>
    <t>General</t>
  </si>
  <si>
    <t>Pain 0-2, Quality 4-5, RPE planmaessig -&gt; Last/Volumen leicht hoch</t>
  </si>
  <si>
    <t>Pain 3 ODER Quality 3 -&gt; Last halten, Technik priorisieren</t>
  </si>
  <si>
    <t>Pain 3 + Morgen schlechter -&gt; 1 Stufe regredieren, Volumen kuerzen</t>
  </si>
  <si>
    <t>Pain &gt;=4 / scharf / neurologisch -&gt; Uebung STOP, ggf. abklaeren</t>
  </si>
  <si>
    <t>90 Push-up</t>
  </si>
  <si>
    <t>Rep 1 sauber, kein Schmerz -&gt; Cluster/Last steigern</t>
  </si>
  <si>
    <t>2. Rep Formverlust -&gt; bei Singles bleiben, Hebel/Kraftdach</t>
  </si>
  <si>
    <t>Schulter sperrt/Beschwerden -&gt; auf Negativ+Pause zurueck</t>
  </si>
  <si>
    <t>Schmerz Schulter/Ellbogen scharf -&gt; stoppen</t>
  </si>
  <si>
    <t>OAHS / Flag</t>
  </si>
  <si>
    <t>saubere Holds, Return kontrolliert -&gt; Support reduzieren</t>
  </si>
  <si>
    <t>wackelig/rechts sperrt -&gt; Support halten, mehr Reps rechts</t>
  </si>
  <si>
    <t>Re-Entry unsauber -&gt; Support erhoehen, Geometrie ueben</t>
  </si>
  <si>
    <t>Schulter scharf / Kontrollverlust -&gt; stoppen</t>
  </si>
  <si>
    <t>Back / Hinge</t>
  </si>
  <si>
    <t>Pain 0-1, Pattern sauber -&gt; Hinge-Level +1 (Rules-Leiter)</t>
  </si>
  <si>
    <t>Pain 2 -&gt; Level halten, Volumen niedrig</t>
  </si>
  <si>
    <t>Pain 3 ODER Morgen schlechter -&gt; Level -1, kein Hinge-Load</t>
  </si>
  <si>
    <t>Pain &gt;=4 / Ausstrahlen / Taubheit -&gt; STOP, abklaeren</t>
  </si>
  <si>
    <t>Wrist / Handgelenk</t>
  </si>
  <si>
    <t>Pain 0-2, kein Ziehen -&gt; normal laden, Wrist-Prep</t>
  </si>
  <si>
    <t>Leichtes Ziehen (z.B. ulnar/Pisiform) -&gt; auf Canes/Parallettes, Volumen runter, Hand neu setzen</t>
  </si>
  <si>
    <t>Ziehen nimmt zu / Morgen schlechter -&gt; OAHS-Last raus, nur Prep/Mobility</t>
  </si>
  <si>
    <t>Scharf / Taubheit / Kribbeln -&gt; stoppen, abklaeren</t>
  </si>
  <si>
    <t>Skill-Progressionsregeln</t>
  </si>
  <si>
    <t>• Hoch nur bei GREEN ueber min. 2 Sessions: Last/Hold/Support eine Stufe.</t>
  </si>
  <si>
    <t>• Runter sofort bei ORANGE/RED oder wenn naechster Morgen schlechter.</t>
  </si>
  <si>
    <t>• 90: Weg zu 3 Reps = Kraftdach anheben (Rep 1 submax) + Cluster-Strength-Endurance + sauberer Hebel. Nie Failure default.</t>
  </si>
  <si>
    <t>• OAHS Flag-Pfad: supported Pre-Flag -&gt; Sideline-Hold -&gt; reduzierter Support -&gt; seltene freie Versuche. Support nur senken wenn Re-Entry sauber.</t>
  </si>
  <si>
    <t>• Schwaechere (rechte) Seite leicht bevorzugen: mehr Reps/Holds, Overhead-/BWS-Mobility.</t>
  </si>
  <si>
    <t>• Skill immer zuerst und frisch; bei Qualitaetsverlust ZUERST Push-Akzessorik kuerzen, nicht den Skill.</t>
  </si>
  <si>
    <t>Hinge-Rebuild-Leiter (Level 0-3) — KEIN schwerer / Barbell-Hinge in diesem Block</t>
  </si>
  <si>
    <t>Level</t>
  </si>
  <si>
    <t>Allowed when</t>
  </si>
  <si>
    <t>Exercises</t>
  </si>
  <si>
    <t>Prescription</t>
  </si>
  <si>
    <t>Move up when</t>
  </si>
  <si>
    <t>Pain bei Dowel-Hinge 0-1, ADL schmerzfrei</t>
  </si>
  <si>
    <t>Dowel Hip-Hinge, Hip-Airplane leicht, Back-Ext Iso (kurz)</t>
  </si>
  <si>
    <t>2-3x5-8 Pattern, Iso 2-3x10-20s, taeglich moeglich</t>
  </si>
  <si>
    <t>2 Sessions GREEN, Morgen ok</t>
  </si>
  <si>
    <t>Level 0 GREEN stabil</t>
  </si>
  <si>
    <t>Hip-Thrust leicht, 45 Grad Back-Ext (BW), Bird-Dog</t>
  </si>
  <si>
    <t>2-3x8-12, RPE&lt;=6, schmerzfrei</t>
  </si>
  <si>
    <t>2 Sessions GREEN, kein Naechst-Morgen-Reiz</t>
  </si>
  <si>
    <t>Level 1 GREEN</t>
  </si>
  <si>
    <t>Hip-Thrust moderat, KB Deadlift LEICHT (Pattern), Ham Curl betont</t>
  </si>
  <si>
    <t>3x8-10, RPE 6-7</t>
  </si>
  <si>
    <t>2 Sessions GREEN</t>
  </si>
  <si>
    <t>Level 2 GREEN (Ende Block / B7)</t>
  </si>
  <si>
    <t>Trap-Bar / RDL LEICHT-moderat (erst naechster Block)</t>
  </si>
  <si>
    <t>2-3x6-8, RPE&lt;=7 — NICHT in B6</t>
  </si>
  <si>
    <t>Naechster Block, schmerzfrei</t>
  </si>
  <si>
    <t>WICHTIG: In B6 maximal Level 2. Kein schwerer Barbell-Hinge, keine Max-Grinds als Default.</t>
  </si>
  <si>
    <t>BWS-Mobility-Protokoll (Einklemm-Thema, KEINE Diagnose)</t>
  </si>
  <si>
    <t>• Extension: Foam-Roller BWS-Extension 2x8-10; Quadruped T-Spine Extension.</t>
  </si>
  <si>
    <t>• Rotation: Open-Book / Quadruped Rotation 2x6-8/Seite, langsam.</t>
  </si>
  <si>
    <t>• Rib-Position: 'ribs down', Bauch-Atmung im 90/90, 3-4 Atemzuege; kein Flaring unter Overhead-Last.</t>
  </si>
  <si>
    <t>• Atmung/Downshift: 5 min nasale Ausatem-betonte Atmung am Sessionende (Parasympathikus).</t>
  </si>
  <si>
    <t>• Platzierung: voll an T3 &amp; T5, Kurzversion im taeglichen Warm-up. Monitoren via Pain-Spalte im Log.</t>
  </si>
  <si>
    <t>Referenzen (Quelle | URL | wofuer)</t>
  </si>
  <si>
    <t>Quelle</t>
  </si>
  <si>
    <t>URL</t>
  </si>
  <si>
    <t>Wofuer</t>
  </si>
  <si>
    <t>Schoenfeld u.a. (PMC8884877)</t>
  </si>
  <si>
    <t>https://pmc.ncbi.nlm.nih.gov/articles/PMC8884877/</t>
  </si>
  <si>
    <t>Hypertrophie-Volumen ~12-20 Saetze/Muskel (individuell)</t>
  </si>
  <si>
    <t>Load/Reps Kraft vs. Hypertrophie (PMC7927075)</t>
  </si>
  <si>
    <t>https://pmc.ncbi.nlm.nih.gov/articles/PMC7927075/</t>
  </si>
  <si>
    <t>Last-/Rep-Bereiche Kraft vs. Hypertrophie</t>
  </si>
  <si>
    <t>Handstand Factory</t>
  </si>
  <si>
    <t>https://handstandfactory.com/one-arm-shapes/</t>
  </si>
  <si>
    <t>OAHS One-Arm-Shapes (Prereqs, fortgeschritten)</t>
  </si>
  <si>
    <t>Berg Movement</t>
  </si>
  <si>
    <t>https://www.bergmovement.com/calisthenics-blog/one-arm-handstand-drills-and-progressions-beginner</t>
  </si>
  <si>
    <t>OAHS Drills/Progressionen</t>
  </si>
  <si>
    <t>https://www.bergmovement.com/calisthenics-blog/90-degree-push-up-tutorial</t>
  </si>
  <si>
    <t>90 Push-up Tutorial/Definition</t>
  </si>
  <si>
    <t>YouTube</t>
  </si>
  <si>
    <t>https://www.youtube.com/watch?v=hLKoKIAp6Eg</t>
  </si>
  <si>
    <t>90 Progressionen (Negativ/Band/Momentum)</t>
  </si>
  <si>
    <t>The Barbell Physio</t>
  </si>
  <si>
    <t>https://thebarbellphysio.com/returning-to-deadlifts-after-back-pain/</t>
  </si>
  <si>
    <t>Return-to-Deadlift nach Rueckenschmerz (Hinge zuerst)</t>
  </si>
  <si>
    <t>B6 — Weekly Summary (automatisch aus B6_Training_Log)</t>
  </si>
  <si>
    <t>Alle Werte per Formel ueber feste Bereiche. Angehaengte Log-Zeilen fliessen automatisch ein.</t>
  </si>
  <si>
    <t>Block gesamt</t>
  </si>
  <si>
    <t>Push — effektive Saetze (90/Planche/Push)</t>
  </si>
  <si>
    <t>Pull — effektive Saetze</t>
  </si>
  <si>
    <t>Legs — effektive Saetze</t>
  </si>
  <si>
    <t>90 — Touches (Eintraege)</t>
  </si>
  <si>
    <t>90 — saubere Reps gesamt</t>
  </si>
  <si>
    <t>OAHS — Skill-Bloecke (Eintraege)</t>
  </si>
  <si>
    <t>Planche — Dosen (Eintraege)</t>
  </si>
  <si>
    <t>Core — Saetze</t>
  </si>
  <si>
    <t>Durchschnitt TopRPE</t>
  </si>
  <si>
    <t>Durchschnitt Pain</t>
  </si>
  <si>
    <t>Geloggte Zeilen</t>
  </si>
  <si>
    <t>Log_Guide — Bedien- &amp; Voice-Anleitung (Google-Sheets-Version)</t>
  </si>
  <si>
    <t>Schema B6_Training_Log (genaue Reihenfolge)</t>
  </si>
  <si>
    <t>Spalte</t>
  </si>
  <si>
    <t>Typ / Validierung</t>
  </si>
  <si>
    <t>Bedeutung</t>
  </si>
  <si>
    <t>echtes Datum</t>
  </si>
  <si>
    <t>Trainingstag ('heute' = aktuelles Datum)</t>
  </si>
  <si>
    <t>Dropdown T1-T5, Rest</t>
  </si>
  <si>
    <t>Session-Typ</t>
  </si>
  <si>
    <t>1-4</t>
  </si>
  <si>
    <t>Mesozyklus-Woche</t>
  </si>
  <si>
    <t>Dropdown aus Library</t>
  </si>
  <si>
    <t>Uebung/Skill</t>
  </si>
  <si>
    <t>FORMEL (INDEX/MATCH)</t>
  </si>
  <si>
    <t>Auto-Kategorie — NICHT manuell</t>
  </si>
  <si>
    <t>Dropdown L,R,NA</t>
  </si>
  <si>
    <t>Seite (OAHS/unilateral), sonst NA</t>
  </si>
  <si>
    <t>Zahl</t>
  </si>
  <si>
    <t>Anzahl Saetze/Bloecke</t>
  </si>
  <si>
    <t>Text</t>
  </si>
  <si>
    <t>z.B. 8 oder 5/3/1 oder Holds-Anzahl</t>
  </si>
  <si>
    <t>Zusatzlast (BW-Uebungen = 0)</t>
  </si>
  <si>
    <t>0-10 (0,5er)</t>
  </si>
  <si>
    <t>hoechste RPE des Eintrags</t>
  </si>
  <si>
    <t>0-10</t>
  </si>
  <si>
    <t>Schmerz waehrend/dazu</t>
  </si>
  <si>
    <t>0-5</t>
  </si>
  <si>
    <t>Skill-Qualitaet (bei Skill)</t>
  </si>
  <si>
    <t>bester Hold in Sekunden (bei Holds)</t>
  </si>
  <si>
    <t>saubere Reps (v.a. 90/Skill)</t>
  </si>
  <si>
    <t>freie Voice-Notiz</t>
  </si>
  <si>
    <t>FORMEL =DayType&amp;"_W"&amp;Week</t>
  </si>
  <si>
    <t>fuer Rollups — NICHT manuell</t>
  </si>
  <si>
    <t>Regeln fuer das Logging-Modell</t>
  </si>
  <si>
    <t>• Append-only: neue Eintraege IMMER unten anhaengen, nichts ueberschreiben.</t>
  </si>
  <si>
    <t>• Alias -&gt; ExerciseID ueber B6_Exercise_Library mappen. Bei nicht eindeutigem Begriff EINE kurze Rueckfrage, sonst nicht nachfragen.</t>
  </si>
  <si>
    <t>• Nicht zutreffende Felder = NA oder leer (z.B. BestHold_s bei einer Kraftuebung).</t>
  </si>
  <si>
    <t>• Category und Key werden per Formel/Skript gefuellt — NICHT manuell eintragen.</t>
  </si>
  <si>
    <t>• Datum als echtes Datum; 'heute' = aktuelles Datum.</t>
  </si>
  <si>
    <t>• Eine Zeile pro Uebung pro Session. OAHS/Flag mit beiden Seiten -&gt; zwei Zeilen (Side=L und Side=R).</t>
  </si>
  <si>
    <t>Beispiel-Diktate -&gt; exakte Zeile(n)</t>
  </si>
  <si>
    <t>#</t>
  </si>
  <si>
    <t>Diktat</t>
  </si>
  <si>
    <t>Resultierende Zeile(n)</t>
  </si>
  <si>
    <t>Heute T1, Woche 2. 90 Grad, 5 Saetze, je 1 saubere Wiederholung, RPE 8,5, Ruecken 1, Handgelenk gut.</t>
  </si>
  <si>
    <t>Date=heute, DayType=T1, Week=2, ExerciseID=90, Side=NA, Sets=5, Reps_or_Scheme=1, Load_kg=0, TopRPE=8.5, Pain_0_10=1, CleanReps=5, Notes=Handgelenk gut  (Category/Key auto)</t>
  </si>
  <si>
    <t>OAHS Holds, links 3 Holds bester 7 Sekunden Qualitaet 4, rechts 2 Holds bester 4 Sekunden Qualitaet 3.</t>
  </si>
  <si>
    <t>ZWEI Zeilen, ExerciseID=OAHS_line: (Side=L, Sets=3, BestHold_s=7, Quality_0_5=4) und (Side=R, Sets=2, BestHold_s=4, Quality_0_5=3)</t>
  </si>
  <si>
    <t>Weighted Pull-up 4 Saetze 4 Wiederholungen plus 20 Kilo RPE 7.</t>
  </si>
  <si>
    <t>ExerciseID=WPU, Category(auto)=Pull, Side=NA, Sets=4, Reps_or_Scheme=4, Load_kg=20, TopRPE=7</t>
  </si>
  <si>
    <t>Supported Flag links 4 Entries Qualitaet 4 Ruecken 2.</t>
  </si>
  <si>
    <t>ExerciseID=OAHS_flag_supported, Side=L, Sets=4, Quality_0_5=4, Pain_0_10=2</t>
  </si>
  <si>
    <t>5</t>
  </si>
  <si>
    <t>Pseudo Planche Push-up 3 mal 8 RPE 8.</t>
  </si>
  <si>
    <t>ExerciseID=pseudo_planche_pushup, Category(auto)=Planche, Sets=3, Reps_or_Scheme=8, TopRPE=8</t>
  </si>
  <si>
    <t>6</t>
  </si>
  <si>
    <t>T3 Woche 1, Hinge mit Dowel 3 Reps Ruecken 1, dann Beinpresse 3 mal 12 mit 120 Kilo RPE 7.</t>
  </si>
  <si>
    <t>ZWEI Zeilen: (ExerciseID=hinge_pattern, Sets=3, Reps_or_Scheme=3, Pain_0_10=1) und (ExerciseID=leg_press, Sets=3, Reps_or_Scheme=12, Load_kg=120, TopRPE=7)</t>
  </si>
  <si>
    <t>Kurze Bedienanleitung</t>
  </si>
  <si>
    <t>1) Taeglich: pro Uebung EINE Zeile unten in B6_Training_Log anhaengen (Dropdowns nutzen). Skill zuerst loggen.</t>
  </si>
  <si>
    <t>2) Voice: diktiere DayType, Woche, Uebung (Alias reicht), Saetze/Reps/Last, RPE, Pain, ggf. Quality/Hold/Seite.</t>
  </si>
  <si>
    <t>3) Category &amp; Key fuellen sich per Formel/Skript. Niemals ueberschreiben.</t>
  </si>
  <si>
    <t>4) B6_Weekly_Summary und B6_Dashboard aktualisieren sich automatisch.</t>
  </si>
  <si>
    <t>5) PLAN anpassen: in B6_Plan_Detail / B6_Schedule. TRACKING anpassen: nur in B6_Training_Log.</t>
  </si>
  <si>
    <t>6) Gates &amp; Hinge-Leiter in B6_Rules befolgen. Ernaehrung in B6_Nutrition_Targets (Maintenance).</t>
  </si>
  <si>
    <t>7) Folgeblock B7: Sheets klonen, BlockCode (B6_Dashboard!B3) auf B7 setzen, Prefix anpassen.</t>
  </si>
</sst>
</file>

<file path=xl/styles.xml><?xml version="1.0" encoding="utf-8"?>
<styleSheet xmlns="http://schemas.openxmlformats.org/spreadsheetml/2006/main">
  <numFmts count="3">
    <numFmt numFmtId="164" formatCode="0.0"/>
    <numFmt numFmtId="165" formatCode="yyyy-mm-dd"/>
    <numFmt numFmtId="166" formatCode="+0;-0"/>
  </numFmts>
  <fonts count="15"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b/>
      <sz val="11"/>
      <color rgb="FF1F3864"/>
      <name val="Arial"/>
      <family val="2"/>
    </font>
    <font>
      <b/>
      <sz val="10"/>
      <color rgb="FFFFFFFF"/>
      <name val="Arial"/>
      <family val="2"/>
    </font>
    <font>
      <i/>
      <sz val="8"/>
      <color theme="1"/>
      <name val="Arial"/>
      <family val="2"/>
    </font>
    <font>
      <b/>
      <sz val="10"/>
      <color theme="1"/>
      <name val="Arial"/>
      <family val="2"/>
    </font>
    <font>
      <i/>
      <sz val="9"/>
      <color theme="1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b/>
      <sz val="9"/>
      <color rgb="FF9C0006"/>
      <name val="Arial"/>
      <family val="2"/>
    </font>
    <font>
      <u/>
      <sz val="9"/>
      <color rgb="FF0563C1"/>
      <name val="Arial"/>
      <family val="2"/>
    </font>
    <font>
      <b/>
      <sz val="10"/>
      <color theme="1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305496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DFF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D580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3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top" wrapText="1"/>
    </xf>
    <xf numFmtId="0" fontId="5" fillId="4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center" vertical="top" wrapText="1"/>
    </xf>
    <xf numFmtId="0" fontId="6" fillId="5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vertical="top" wrapText="1"/>
    </xf>
    <xf numFmtId="0" fontId="8" fillId="0" borderId="1" xfId="0" applyFont="1" applyBorder="1" applyAlignment="1">
      <alignment vertical="top" wrapText="1"/>
    </xf>
    <xf numFmtId="1" fontId="4" fillId="0" borderId="1" xfId="0" applyNumberFormat="1" applyFont="1" applyBorder="1" applyAlignment="1">
      <alignment horizontal="center" vertical="top"/>
    </xf>
    <xf numFmtId="164" fontId="4" fillId="0" borderId="1" xfId="0" applyNumberFormat="1" applyFont="1" applyBorder="1" applyAlignment="1">
      <alignment horizontal="center" vertical="top"/>
    </xf>
    <xf numFmtId="0" fontId="9" fillId="0" borderId="0" xfId="0" applyFont="1" applyAlignment="1">
      <alignment vertical="top" wrapText="1"/>
    </xf>
    <xf numFmtId="0" fontId="8" fillId="0" borderId="1" xfId="0" applyFont="1" applyBorder="1" applyAlignment="1">
      <alignment horizontal="center" vertical="top" wrapText="1"/>
    </xf>
    <xf numFmtId="0" fontId="8" fillId="6" borderId="1" xfId="0" applyFont="1" applyFill="1" applyBorder="1" applyAlignment="1">
      <alignment horizontal="center" vertical="top"/>
    </xf>
    <xf numFmtId="0" fontId="8" fillId="7" borderId="1" xfId="0" applyFont="1" applyFill="1" applyBorder="1" applyAlignment="1">
      <alignment horizontal="center" vertical="top"/>
    </xf>
    <xf numFmtId="0" fontId="8" fillId="8" borderId="1" xfId="0" applyFont="1" applyFill="1" applyBorder="1" applyAlignment="1">
      <alignment horizontal="center" vertical="top"/>
    </xf>
    <xf numFmtId="0" fontId="8" fillId="9" borderId="1" xfId="0" applyFont="1" applyFill="1" applyBorder="1" applyAlignment="1">
      <alignment horizontal="center" vertical="top"/>
    </xf>
    <xf numFmtId="0" fontId="8" fillId="10" borderId="1" xfId="0" applyFont="1" applyFill="1" applyBorder="1" applyAlignment="1">
      <alignment horizontal="center" vertical="top"/>
    </xf>
    <xf numFmtId="0" fontId="8" fillId="11" borderId="1" xfId="0" applyFont="1" applyFill="1" applyBorder="1" applyAlignment="1">
      <alignment horizontal="center" vertical="top"/>
    </xf>
    <xf numFmtId="165" fontId="4" fillId="0" borderId="1" xfId="0" applyNumberFormat="1" applyFont="1" applyBorder="1"/>
    <xf numFmtId="166" fontId="4" fillId="0" borderId="1" xfId="0" applyNumberFormat="1" applyFont="1" applyBorder="1" applyAlignment="1">
      <alignment horizontal="center" vertical="top"/>
    </xf>
    <xf numFmtId="0" fontId="10" fillId="12" borderId="1" xfId="0" applyFont="1" applyFill="1" applyBorder="1" applyAlignment="1">
      <alignment vertical="top" wrapText="1"/>
    </xf>
    <xf numFmtId="0" fontId="4" fillId="13" borderId="1" xfId="0" applyFont="1" applyFill="1" applyBorder="1" applyAlignment="1">
      <alignment vertical="top" wrapText="1"/>
    </xf>
    <xf numFmtId="0" fontId="4" fillId="14" borderId="1" xfId="0" applyFont="1" applyFill="1" applyBorder="1" applyAlignment="1">
      <alignment vertical="top" wrapText="1"/>
    </xf>
    <xf numFmtId="0" fontId="11" fillId="15" borderId="1" xfId="0" applyFont="1" applyFill="1" applyBorder="1" applyAlignment="1">
      <alignment vertical="top" wrapText="1"/>
    </xf>
    <xf numFmtId="0" fontId="12" fillId="0" borderId="1" xfId="0" applyFont="1" applyBorder="1" applyAlignment="1">
      <alignment vertical="top" wrapText="1"/>
    </xf>
    <xf numFmtId="0" fontId="13" fillId="0" borderId="1" xfId="0" applyFont="1" applyBorder="1" applyAlignment="1">
      <alignment vertical="top" wrapText="1"/>
    </xf>
    <xf numFmtId="164" fontId="14" fillId="0" borderId="1" xfId="0" applyNumberFormat="1" applyFont="1" applyBorder="1" applyAlignment="1">
      <alignment horizontal="center" vertical="top"/>
    </xf>
    <xf numFmtId="1" fontId="14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4">
    <dxf>
      <fill>
        <patternFill>
          <bgColor rgb="FFFFD58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EB9C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pmc.ncbi.nlm.nih.gov/articles/PMC8884877/" TargetMode="External"/><Relationship Id="rId2" Type="http://schemas.openxmlformats.org/officeDocument/2006/relationships/hyperlink" Target="https://pmc.ncbi.nlm.nih.gov/articles/PMC7927075/" TargetMode="External"/><Relationship Id="rId3" Type="http://schemas.openxmlformats.org/officeDocument/2006/relationships/hyperlink" Target="https://handstandfactory.com/one-arm-shapes/" TargetMode="External"/><Relationship Id="rId4" Type="http://schemas.openxmlformats.org/officeDocument/2006/relationships/hyperlink" Target="https://www.bergmovement.com/calisthenics-blog/one-arm-handstand-drills-and-progressions-beginner" TargetMode="External"/><Relationship Id="rId5" Type="http://schemas.openxmlformats.org/officeDocument/2006/relationships/hyperlink" Target="https://www.bergmovement.com/calisthenics-blog/90-degree-push-up-tutorial" TargetMode="External"/><Relationship Id="rId6" Type="http://schemas.openxmlformats.org/officeDocument/2006/relationships/hyperlink" Target="https://www.youtube.com/watch?v=hLKoKIAp6Eg" TargetMode="External"/><Relationship Id="rId7" Type="http://schemas.openxmlformats.org/officeDocument/2006/relationships/hyperlink" Target="https://thebarbellphysio.com/returning-to-deadlifts-after-back-pai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9"/>
  <sheetViews>
    <sheetView tabSelected="1" workbookViewId="0"/>
  </sheetViews>
  <sheetFormatPr defaultRowHeight="15"/>
  <cols>
    <col min="1" max="1" width="34.7109375" customWidth="1"/>
    <col min="2" max="2" width="12.7109375" customWidth="1"/>
    <col min="3" max="3" width="16.7109375" customWidth="1"/>
    <col min="4" max="4" width="26.7109375" customWidth="1"/>
    <col min="5" max="5" width="40.7109375" customWidth="1"/>
    <col min="6" max="9" width="14.7109375" customWidth="1"/>
  </cols>
  <sheetData>
    <row r="1" spans="1:6">
      <c r="A1" s="1" t="s">
        <v>0</v>
      </c>
      <c r="B1" s="1"/>
      <c r="C1" s="1"/>
      <c r="D1" s="1"/>
      <c r="E1" s="1"/>
      <c r="F1" s="1"/>
    </row>
    <row r="3" spans="1:6">
      <c r="A3" s="2" t="s">
        <v>1</v>
      </c>
      <c r="B3" s="3" t="s">
        <v>2</v>
      </c>
      <c r="C3" s="4" t="s">
        <v>3</v>
      </c>
      <c r="D3" s="4"/>
      <c r="E3" s="4"/>
      <c r="F3" s="4"/>
    </row>
    <row r="5" spans="1:6">
      <c r="A5" s="5" t="s">
        <v>4</v>
      </c>
      <c r="B5" s="5"/>
      <c r="C5" s="5"/>
      <c r="D5" s="5"/>
      <c r="E5" s="5"/>
      <c r="F5" s="5"/>
    </row>
    <row r="6" spans="1:6">
      <c r="A6" s="6" t="s">
        <v>5</v>
      </c>
      <c r="B6" s="4" t="s">
        <v>6</v>
      </c>
      <c r="C6" s="4"/>
      <c r="D6" s="4"/>
      <c r="E6" s="4"/>
      <c r="F6" s="4"/>
    </row>
    <row r="7" spans="1:6">
      <c r="A7" s="6" t="s">
        <v>5</v>
      </c>
      <c r="B7" s="4" t="s">
        <v>7</v>
      </c>
      <c r="C7" s="4"/>
      <c r="D7" s="4"/>
      <c r="E7" s="4"/>
      <c r="F7" s="4"/>
    </row>
    <row r="8" spans="1:6">
      <c r="A8" s="6" t="s">
        <v>5</v>
      </c>
      <c r="B8" s="4" t="s">
        <v>8</v>
      </c>
      <c r="C8" s="4"/>
      <c r="D8" s="4"/>
      <c r="E8" s="4"/>
      <c r="F8" s="4"/>
    </row>
    <row r="9" spans="1:6">
      <c r="A9" s="6" t="s">
        <v>5</v>
      </c>
      <c r="B9" s="4" t="s">
        <v>9</v>
      </c>
      <c r="C9" s="4"/>
      <c r="D9" s="4"/>
      <c r="E9" s="4"/>
      <c r="F9" s="4"/>
    </row>
    <row r="10" spans="1:6">
      <c r="A10" s="6" t="s">
        <v>5</v>
      </c>
      <c r="B10" s="4" t="s">
        <v>10</v>
      </c>
      <c r="C10" s="4"/>
      <c r="D10" s="4"/>
      <c r="E10" s="4"/>
      <c r="F10" s="4"/>
    </row>
    <row r="11" spans="1:6">
      <c r="A11" s="6" t="s">
        <v>5</v>
      </c>
      <c r="B11" s="4" t="s">
        <v>11</v>
      </c>
      <c r="C11" s="4"/>
      <c r="D11" s="4"/>
      <c r="E11" s="4"/>
      <c r="F11" s="4"/>
    </row>
    <row r="12" spans="1:6">
      <c r="A12" s="6" t="s">
        <v>5</v>
      </c>
      <c r="B12" s="4" t="s">
        <v>12</v>
      </c>
      <c r="C12" s="4"/>
      <c r="D12" s="4"/>
      <c r="E12" s="4"/>
      <c r="F12" s="4"/>
    </row>
    <row r="14" spans="1:6">
      <c r="A14" s="5" t="s">
        <v>13</v>
      </c>
      <c r="B14" s="5"/>
      <c r="C14" s="5"/>
      <c r="D14" s="5"/>
      <c r="E14" s="5"/>
      <c r="F14" s="5"/>
    </row>
    <row r="15" spans="1:6">
      <c r="A15" s="4" t="s">
        <v>14</v>
      </c>
      <c r="B15" s="4"/>
      <c r="C15" s="4"/>
      <c r="D15" s="4"/>
      <c r="E15" s="4"/>
      <c r="F15" s="4"/>
    </row>
    <row r="16" spans="1:6">
      <c r="A16" s="4" t="s">
        <v>15</v>
      </c>
      <c r="B16" s="4"/>
      <c r="C16" s="4"/>
      <c r="D16" s="4"/>
      <c r="E16" s="4"/>
      <c r="F16" s="4"/>
    </row>
    <row r="17" spans="1:7">
      <c r="A17" s="4" t="s">
        <v>16</v>
      </c>
      <c r="B17" s="4"/>
      <c r="C17" s="4"/>
      <c r="D17" s="4"/>
      <c r="E17" s="4"/>
      <c r="F17" s="4"/>
    </row>
    <row r="18" spans="1:7">
      <c r="A18" s="4" t="s">
        <v>17</v>
      </c>
      <c r="B18" s="4"/>
      <c r="C18" s="4"/>
      <c r="D18" s="4"/>
      <c r="E18" s="4"/>
      <c r="F18" s="4"/>
    </row>
    <row r="19" spans="1:7">
      <c r="A19" s="4" t="s">
        <v>18</v>
      </c>
      <c r="B19" s="4"/>
      <c r="C19" s="4"/>
      <c r="D19" s="4"/>
      <c r="E19" s="4"/>
      <c r="F19" s="4"/>
    </row>
    <row r="21" spans="1:7">
      <c r="A21" s="5" t="s">
        <v>19</v>
      </c>
      <c r="B21" s="5"/>
      <c r="C21" s="5"/>
      <c r="D21" s="5"/>
      <c r="E21" s="5"/>
      <c r="F21" s="5"/>
      <c r="G21" s="5"/>
    </row>
    <row r="22" spans="1:7">
      <c r="A22" s="7" t="s">
        <v>20</v>
      </c>
      <c r="B22" s="7" t="s">
        <v>21</v>
      </c>
      <c r="C22" s="7" t="s">
        <v>22</v>
      </c>
      <c r="D22" s="7" t="s">
        <v>23</v>
      </c>
      <c r="E22" s="7" t="s">
        <v>24</v>
      </c>
      <c r="F22" s="7" t="s">
        <v>25</v>
      </c>
      <c r="G22" s="7" t="s">
        <v>26</v>
      </c>
    </row>
    <row r="23" spans="1:7">
      <c r="A23" s="4" t="s">
        <v>27</v>
      </c>
      <c r="B23" s="6" t="s">
        <v>28</v>
      </c>
      <c r="C23" s="6" t="s">
        <v>29</v>
      </c>
      <c r="D23" s="6" t="s">
        <v>30</v>
      </c>
      <c r="E23" s="6" t="s">
        <v>31</v>
      </c>
      <c r="F23" s="6" t="s">
        <v>32</v>
      </c>
      <c r="G23" s="6" t="s">
        <v>33</v>
      </c>
    </row>
    <row r="24" spans="1:7">
      <c r="A24" s="4" t="s">
        <v>34</v>
      </c>
      <c r="B24" s="6" t="s">
        <v>29</v>
      </c>
      <c r="C24" s="6" t="s">
        <v>35</v>
      </c>
      <c r="D24" s="6" t="s">
        <v>36</v>
      </c>
      <c r="E24" s="6" t="s">
        <v>32</v>
      </c>
      <c r="F24" s="6" t="s">
        <v>32</v>
      </c>
      <c r="G24" s="6" t="s">
        <v>37</v>
      </c>
    </row>
    <row r="25" spans="1:7">
      <c r="A25" s="4" t="s">
        <v>38</v>
      </c>
      <c r="B25" s="6" t="s">
        <v>39</v>
      </c>
      <c r="C25" s="6" t="s">
        <v>40</v>
      </c>
      <c r="D25" s="6" t="s">
        <v>28</v>
      </c>
      <c r="E25" s="6" t="s">
        <v>41</v>
      </c>
      <c r="F25" s="6" t="s">
        <v>32</v>
      </c>
      <c r="G25" s="6" t="s">
        <v>32</v>
      </c>
    </row>
    <row r="26" spans="1:7">
      <c r="A26" s="4" t="s">
        <v>42</v>
      </c>
      <c r="B26" s="6" t="s">
        <v>43</v>
      </c>
      <c r="C26" s="6" t="s">
        <v>36</v>
      </c>
      <c r="D26" s="6" t="s">
        <v>44</v>
      </c>
      <c r="E26" s="6" t="s">
        <v>45</v>
      </c>
      <c r="F26" s="6" t="s">
        <v>46</v>
      </c>
      <c r="G26" s="6" t="s">
        <v>47</v>
      </c>
    </row>
    <row r="27" spans="1:7">
      <c r="A27" s="8" t="s">
        <v>48</v>
      </c>
      <c r="B27" s="8"/>
      <c r="C27" s="8"/>
      <c r="D27" s="8"/>
      <c r="E27" s="8"/>
      <c r="F27" s="8"/>
      <c r="G27" s="8"/>
    </row>
    <row r="29" spans="1:7">
      <c r="A29" s="5" t="s">
        <v>49</v>
      </c>
      <c r="B29" s="5"/>
      <c r="C29" s="5"/>
      <c r="D29" s="5"/>
      <c r="E29" s="5"/>
    </row>
    <row r="30" spans="1:7">
      <c r="A30" s="7" t="s">
        <v>50</v>
      </c>
      <c r="B30" s="7" t="s">
        <v>51</v>
      </c>
      <c r="C30" s="7" t="s">
        <v>52</v>
      </c>
      <c r="D30" s="7" t="s">
        <v>53</v>
      </c>
      <c r="E30" s="7" t="s">
        <v>54</v>
      </c>
    </row>
    <row r="31" spans="1:7">
      <c r="A31" s="9" t="s">
        <v>55</v>
      </c>
      <c r="B31" s="10">
        <f>COUNTA('B6_Training_Log'!$A$2:$A$1000)</f>
        <v>0</v>
      </c>
      <c r="C31" s="6" t="s">
        <v>56</v>
      </c>
      <c r="D31" s="4">
        <f>IF(B31=0,"noch leer",IF(B31&lt;10,"wenig Daten","laeuft"))</f>
        <v>0</v>
      </c>
      <c r="E31" s="4" t="s">
        <v>57</v>
      </c>
    </row>
    <row r="32" spans="1:7">
      <c r="A32" s="9" t="s">
        <v>58</v>
      </c>
      <c r="B32" s="11">
        <f>IFERROR(AVERAGE('B6_Training_Log'!$J$2:$J$1000),0)</f>
        <v>0</v>
      </c>
      <c r="C32" s="6" t="s">
        <v>59</v>
      </c>
      <c r="D32" s="4">
        <f>IF(B32=0,"-",IF(B32&gt;8.7,"zu hoch",IF(B32&lt;6.5,"Luft nach oben","im Ziel")))</f>
        <v>0</v>
      </c>
      <c r="E32" s="4" t="s">
        <v>60</v>
      </c>
    </row>
    <row r="33" spans="1:5">
      <c r="A33" s="9" t="s">
        <v>61</v>
      </c>
      <c r="B33" s="11">
        <f>IFERROR(AVERAGE('B6_Training_Log'!$K$2:$K$1000),0)</f>
        <v>0</v>
      </c>
      <c r="C33" s="6" t="s">
        <v>62</v>
      </c>
      <c r="D33" s="4">
        <f>IF(B33&lt;2.5,"OK",IF(B33&lt;3.5,"beobachten","regredieren"))</f>
        <v>0</v>
      </c>
      <c r="E33" s="4" t="s">
        <v>63</v>
      </c>
    </row>
    <row r="34" spans="1:5">
      <c r="A34" s="9" t="s">
        <v>64</v>
      </c>
      <c r="B34" s="10">
        <f>COUNTIF('B6_Training_Log'!$K$2:$K$1000,"&gt;=4")</f>
        <v>0</v>
      </c>
      <c r="C34" s="6" t="s">
        <v>65</v>
      </c>
      <c r="D34" s="4">
        <f>IF(B34=0,"OK","STOP/abklaeren")</f>
        <v>0</v>
      </c>
      <c r="E34" s="4" t="s">
        <v>66</v>
      </c>
    </row>
    <row r="35" spans="1:5">
      <c r="A35" s="9" t="s">
        <v>67</v>
      </c>
      <c r="B35" s="10">
        <f>SUMIFS('B6_Training_Log'!$N$2:$N$1000,'B6_Training_Log'!$D$2:$D$1000,"90")</f>
        <v>0</v>
      </c>
      <c r="C35" s="6" t="s">
        <v>68</v>
      </c>
      <c r="D35" s="4">
        <f>IF(B35=0,"-","Fortschritt loggen")</f>
        <v>0</v>
      </c>
      <c r="E35" s="4" t="s">
        <v>69</v>
      </c>
    </row>
    <row r="36" spans="1:5">
      <c r="A36" s="9" t="s">
        <v>70</v>
      </c>
      <c r="B36" s="10">
        <f>MAXIFS('B6_Training_Log'!$M$2:$M$1000,'B6_Training_Log'!$E$2:$E$1000,"SkillOAHS",'B6_Training_Log'!$F$2:$F$1000,"L")</f>
        <v>0</v>
      </c>
      <c r="C36" s="6" t="s">
        <v>68</v>
      </c>
      <c r="D36" s="4">
        <f>IF(B36=0,"-",IF(B36&gt;=5,"stabil","aufbauen"))</f>
        <v>0</v>
      </c>
      <c r="E36" s="4" t="s">
        <v>71</v>
      </c>
    </row>
    <row r="37" spans="1:5">
      <c r="A37" s="9" t="s">
        <v>72</v>
      </c>
      <c r="B37" s="10">
        <f>MAXIFS('B6_Training_Log'!$M$2:$M$1000,'B6_Training_Log'!$E$2:$E$1000,"SkillOAHS",'B6_Training_Log'!$F$2:$F$1000,"R")</f>
        <v>0</v>
      </c>
      <c r="C37" s="6" t="s">
        <v>73</v>
      </c>
      <c r="D37" s="4">
        <f>IF(B37=0,"-",IF(B37&gt;=MAXIFS('B6_Training_Log'!$M$2:$M$1000,'B6_Training_Log'!$E$2:$E$1000,"SkillOAHS",'B6_Training_Log'!$F$2:$F$1000,"L")*0.7,"Asymmetrie ok","rechts priorisieren"))</f>
        <v>0</v>
      </c>
      <c r="E37" s="4" t="s">
        <v>74</v>
      </c>
    </row>
    <row r="38" spans="1:5">
      <c r="A38" s="9" t="s">
        <v>75</v>
      </c>
      <c r="B38" s="10">
        <f>MAXIFS('B6_Training_Log'!$M$2:$M$1000,'B6_Training_Log'!$E$2:$E$1000,"SkillFlag",'B6_Training_Log'!$F$2:$F$1000,"L")</f>
        <v>0</v>
      </c>
      <c r="C38" s="6" t="s">
        <v>68</v>
      </c>
      <c r="D38" s="4">
        <f>IF(B38=0,"-","Support reduzieren wenn sauber")</f>
        <v>0</v>
      </c>
      <c r="E38" s="4" t="s">
        <v>76</v>
      </c>
    </row>
    <row r="39" spans="1:5">
      <c r="A39" s="9" t="s">
        <v>77</v>
      </c>
      <c r="B39" s="10">
        <f>MAXIFS('B6_Training_Log'!$M$2:$M$1000,'B6_Training_Log'!$E$2:$E$1000,"SkillFlag",'B6_Training_Log'!$F$2:$F$1000,"R")</f>
        <v>0</v>
      </c>
      <c r="C39" s="6" t="s">
        <v>68</v>
      </c>
      <c r="D39" s="4">
        <f>IF(B39=0,"-","Support reduzieren wenn sauber")</f>
        <v>0</v>
      </c>
      <c r="E39" s="4" t="s">
        <v>78</v>
      </c>
    </row>
  </sheetData>
  <mergeCells count="19">
    <mergeCell ref="A1:F1"/>
    <mergeCell ref="C3:F3"/>
    <mergeCell ref="A5:F5"/>
    <mergeCell ref="B6:F6"/>
    <mergeCell ref="B7:F7"/>
    <mergeCell ref="B8:F8"/>
    <mergeCell ref="B9:F9"/>
    <mergeCell ref="B10:F10"/>
    <mergeCell ref="B11:F11"/>
    <mergeCell ref="B12:F12"/>
    <mergeCell ref="A14:F14"/>
    <mergeCell ref="A15:F15"/>
    <mergeCell ref="A16:F16"/>
    <mergeCell ref="A17:F17"/>
    <mergeCell ref="A18:F18"/>
    <mergeCell ref="A19:F19"/>
    <mergeCell ref="A21:G21"/>
    <mergeCell ref="A27:G27"/>
    <mergeCell ref="A29:E29"/>
  </mergeCells>
  <conditionalFormatting sqref="B33">
    <cfRule type="cellIs" dxfId="0" priority="1" operator="greaterThanOrEqual">
      <formula>2.5</formula>
    </cfRule>
  </conditionalFormatting>
  <conditionalFormatting sqref="B34">
    <cfRule type="cellIs" dxfId="1" priority="2" operator="greaterThanOrEqual">
      <formula>1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3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8.7109375" customWidth="1"/>
    <col min="2" max="2" width="7.7109375" customWidth="1"/>
    <col min="3" max="3" width="10.7109375" customWidth="1"/>
    <col min="4" max="4" width="30.7109375" customWidth="1"/>
    <col min="5" max="5" width="34.7109375" customWidth="1"/>
    <col min="6" max="6" width="40.7109375" customWidth="1"/>
    <col min="7" max="7" width="34.7109375" customWidth="1"/>
    <col min="8" max="8" width="26.7109375" customWidth="1"/>
    <col min="9" max="10" width="34.7109375" customWidth="1"/>
  </cols>
  <sheetData>
    <row r="1" spans="1:10">
      <c r="A1" s="1" t="s">
        <v>79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12" t="s">
        <v>80</v>
      </c>
      <c r="B2" s="12"/>
      <c r="C2" s="12"/>
      <c r="D2" s="12"/>
      <c r="E2" s="12"/>
      <c r="F2" s="12"/>
      <c r="G2" s="12"/>
      <c r="H2" s="12"/>
      <c r="I2" s="12"/>
      <c r="J2" s="12"/>
    </row>
    <row r="3" spans="1:10">
      <c r="A3" s="7" t="s">
        <v>81</v>
      </c>
      <c r="B3" s="7" t="s">
        <v>82</v>
      </c>
      <c r="C3" s="7" t="s">
        <v>83</v>
      </c>
      <c r="D3" s="7" t="s">
        <v>84</v>
      </c>
      <c r="E3" s="7" t="s">
        <v>85</v>
      </c>
      <c r="F3" s="7" t="s">
        <v>86</v>
      </c>
      <c r="G3" s="7" t="s">
        <v>87</v>
      </c>
      <c r="H3" s="7" t="s">
        <v>88</v>
      </c>
      <c r="I3" s="7" t="s">
        <v>89</v>
      </c>
      <c r="J3" s="7" t="s">
        <v>90</v>
      </c>
    </row>
    <row r="4" spans="1:10">
      <c r="A4" s="6" t="s">
        <v>91</v>
      </c>
      <c r="B4" s="13" t="s">
        <v>92</v>
      </c>
      <c r="C4" s="6" t="s">
        <v>92</v>
      </c>
      <c r="D4" s="4" t="s">
        <v>93</v>
      </c>
      <c r="E4" s="4" t="s">
        <v>94</v>
      </c>
      <c r="F4" s="4" t="s">
        <v>95</v>
      </c>
      <c r="G4" s="4" t="s">
        <v>96</v>
      </c>
      <c r="H4" s="4" t="s">
        <v>97</v>
      </c>
      <c r="I4" s="4" t="s">
        <v>98</v>
      </c>
      <c r="J4" s="4" t="s">
        <v>99</v>
      </c>
    </row>
    <row r="5" spans="1:10">
      <c r="A5" s="6" t="s">
        <v>91</v>
      </c>
      <c r="B5" s="13" t="s">
        <v>100</v>
      </c>
      <c r="C5" s="6" t="s">
        <v>100</v>
      </c>
      <c r="D5" s="4" t="s">
        <v>101</v>
      </c>
      <c r="E5" s="4" t="s">
        <v>102</v>
      </c>
      <c r="F5" s="4" t="s">
        <v>103</v>
      </c>
      <c r="G5" s="4" t="s">
        <v>104</v>
      </c>
      <c r="H5" s="4" t="s">
        <v>105</v>
      </c>
      <c r="I5" s="4" t="s">
        <v>106</v>
      </c>
      <c r="J5" s="4" t="s">
        <v>99</v>
      </c>
    </row>
    <row r="6" spans="1:10">
      <c r="A6" s="6" t="s">
        <v>91</v>
      </c>
      <c r="B6" s="13" t="s">
        <v>107</v>
      </c>
      <c r="C6" s="6" t="s">
        <v>107</v>
      </c>
      <c r="D6" s="4" t="s">
        <v>108</v>
      </c>
      <c r="E6" s="4" t="s">
        <v>109</v>
      </c>
      <c r="F6" s="4" t="s">
        <v>110</v>
      </c>
      <c r="G6" s="4" t="s">
        <v>111</v>
      </c>
      <c r="H6" s="4" t="s">
        <v>112</v>
      </c>
      <c r="I6" s="4" t="s">
        <v>113</v>
      </c>
      <c r="J6" s="4" t="s">
        <v>99</v>
      </c>
    </row>
    <row r="7" spans="1:10">
      <c r="A7" s="6" t="s">
        <v>91</v>
      </c>
      <c r="B7" s="13" t="s">
        <v>114</v>
      </c>
      <c r="C7" s="6" t="s">
        <v>114</v>
      </c>
      <c r="D7" s="4" t="s">
        <v>115</v>
      </c>
      <c r="E7" s="4" t="s">
        <v>116</v>
      </c>
      <c r="F7" s="4" t="s">
        <v>117</v>
      </c>
      <c r="G7" s="4" t="s">
        <v>118</v>
      </c>
      <c r="H7" s="4" t="s">
        <v>119</v>
      </c>
      <c r="I7" s="4" t="s">
        <v>120</v>
      </c>
      <c r="J7" s="4" t="s">
        <v>99</v>
      </c>
    </row>
    <row r="8" spans="1:10">
      <c r="A8" s="6" t="s">
        <v>91</v>
      </c>
      <c r="B8" s="13" t="s">
        <v>121</v>
      </c>
      <c r="C8" s="6" t="s">
        <v>121</v>
      </c>
      <c r="D8" s="4" t="s">
        <v>122</v>
      </c>
      <c r="E8" s="4" t="s">
        <v>123</v>
      </c>
      <c r="F8" s="4" t="s">
        <v>124</v>
      </c>
      <c r="G8" s="4" t="s">
        <v>125</v>
      </c>
      <c r="H8" s="4" t="s">
        <v>126</v>
      </c>
      <c r="I8" s="4" t="s">
        <v>127</v>
      </c>
      <c r="J8" s="4" t="s">
        <v>99</v>
      </c>
    </row>
    <row r="9" spans="1:10">
      <c r="A9" s="6" t="s">
        <v>34</v>
      </c>
      <c r="B9" s="13" t="s">
        <v>92</v>
      </c>
      <c r="C9" s="6" t="s">
        <v>92</v>
      </c>
      <c r="D9" s="4" t="s">
        <v>93</v>
      </c>
      <c r="E9" s="4" t="s">
        <v>94</v>
      </c>
      <c r="F9" s="4" t="s">
        <v>95</v>
      </c>
      <c r="G9" s="4" t="s">
        <v>96</v>
      </c>
      <c r="H9" s="4" t="s">
        <v>97</v>
      </c>
      <c r="I9" s="4" t="s">
        <v>128</v>
      </c>
      <c r="J9" s="4" t="s">
        <v>99</v>
      </c>
    </row>
    <row r="10" spans="1:10">
      <c r="A10" s="6" t="s">
        <v>34</v>
      </c>
      <c r="B10" s="13" t="s">
        <v>100</v>
      </c>
      <c r="C10" s="6" t="s">
        <v>100</v>
      </c>
      <c r="D10" s="4" t="s">
        <v>101</v>
      </c>
      <c r="E10" s="4" t="s">
        <v>102</v>
      </c>
      <c r="F10" s="4" t="s">
        <v>103</v>
      </c>
      <c r="G10" s="4" t="s">
        <v>104</v>
      </c>
      <c r="H10" s="4" t="s">
        <v>105</v>
      </c>
      <c r="I10" s="4" t="s">
        <v>129</v>
      </c>
      <c r="J10" s="4" t="s">
        <v>99</v>
      </c>
    </row>
    <row r="11" spans="1:10">
      <c r="A11" s="6" t="s">
        <v>34</v>
      </c>
      <c r="B11" s="13" t="s">
        <v>107</v>
      </c>
      <c r="C11" s="6" t="s">
        <v>107</v>
      </c>
      <c r="D11" s="4" t="s">
        <v>108</v>
      </c>
      <c r="E11" s="4" t="s">
        <v>109</v>
      </c>
      <c r="F11" s="4" t="s">
        <v>110</v>
      </c>
      <c r="G11" s="4" t="s">
        <v>111</v>
      </c>
      <c r="H11" s="4" t="s">
        <v>112</v>
      </c>
      <c r="I11" s="4" t="s">
        <v>130</v>
      </c>
      <c r="J11" s="4" t="s">
        <v>99</v>
      </c>
    </row>
    <row r="12" spans="1:10">
      <c r="A12" s="6" t="s">
        <v>34</v>
      </c>
      <c r="B12" s="13" t="s">
        <v>114</v>
      </c>
      <c r="C12" s="6" t="s">
        <v>114</v>
      </c>
      <c r="D12" s="4" t="s">
        <v>115</v>
      </c>
      <c r="E12" s="4" t="s">
        <v>116</v>
      </c>
      <c r="F12" s="4" t="s">
        <v>117</v>
      </c>
      <c r="G12" s="4" t="s">
        <v>118</v>
      </c>
      <c r="H12" s="4" t="s">
        <v>119</v>
      </c>
      <c r="I12" s="4" t="s">
        <v>131</v>
      </c>
      <c r="J12" s="4" t="s">
        <v>99</v>
      </c>
    </row>
    <row r="13" spans="1:10">
      <c r="A13" s="6" t="s">
        <v>34</v>
      </c>
      <c r="B13" s="13" t="s">
        <v>121</v>
      </c>
      <c r="C13" s="6" t="s">
        <v>121</v>
      </c>
      <c r="D13" s="4" t="s">
        <v>122</v>
      </c>
      <c r="E13" s="4" t="s">
        <v>123</v>
      </c>
      <c r="F13" s="4" t="s">
        <v>124</v>
      </c>
      <c r="G13" s="4" t="s">
        <v>125</v>
      </c>
      <c r="H13" s="4" t="s">
        <v>126</v>
      </c>
      <c r="I13" s="4" t="s">
        <v>132</v>
      </c>
      <c r="J13" s="4" t="s">
        <v>99</v>
      </c>
    </row>
    <row r="14" spans="1:10">
      <c r="A14" s="6" t="s">
        <v>38</v>
      </c>
      <c r="B14" s="13" t="s">
        <v>92</v>
      </c>
      <c r="C14" s="6" t="s">
        <v>92</v>
      </c>
      <c r="D14" s="4" t="s">
        <v>93</v>
      </c>
      <c r="E14" s="4" t="s">
        <v>94</v>
      </c>
      <c r="F14" s="4" t="s">
        <v>95</v>
      </c>
      <c r="G14" s="4" t="s">
        <v>96</v>
      </c>
      <c r="H14" s="4" t="s">
        <v>97</v>
      </c>
      <c r="I14" s="4" t="s">
        <v>133</v>
      </c>
      <c r="J14" s="4" t="s">
        <v>99</v>
      </c>
    </row>
    <row r="15" spans="1:10">
      <c r="A15" s="6" t="s">
        <v>38</v>
      </c>
      <c r="B15" s="13" t="s">
        <v>100</v>
      </c>
      <c r="C15" s="6" t="s">
        <v>100</v>
      </c>
      <c r="D15" s="4" t="s">
        <v>101</v>
      </c>
      <c r="E15" s="4" t="s">
        <v>102</v>
      </c>
      <c r="F15" s="4" t="s">
        <v>103</v>
      </c>
      <c r="G15" s="4" t="s">
        <v>104</v>
      </c>
      <c r="H15" s="4" t="s">
        <v>105</v>
      </c>
      <c r="I15" s="4" t="s">
        <v>134</v>
      </c>
      <c r="J15" s="4" t="s">
        <v>99</v>
      </c>
    </row>
    <row r="16" spans="1:10">
      <c r="A16" s="6" t="s">
        <v>38</v>
      </c>
      <c r="B16" s="13" t="s">
        <v>107</v>
      </c>
      <c r="C16" s="6" t="s">
        <v>107</v>
      </c>
      <c r="D16" s="4" t="s">
        <v>108</v>
      </c>
      <c r="E16" s="4" t="s">
        <v>109</v>
      </c>
      <c r="F16" s="4" t="s">
        <v>110</v>
      </c>
      <c r="G16" s="4" t="s">
        <v>111</v>
      </c>
      <c r="H16" s="4" t="s">
        <v>112</v>
      </c>
      <c r="I16" s="4" t="s">
        <v>135</v>
      </c>
      <c r="J16" s="4" t="s">
        <v>99</v>
      </c>
    </row>
    <row r="17" spans="1:10">
      <c r="A17" s="6" t="s">
        <v>38</v>
      </c>
      <c r="B17" s="13" t="s">
        <v>114</v>
      </c>
      <c r="C17" s="6" t="s">
        <v>114</v>
      </c>
      <c r="D17" s="4" t="s">
        <v>115</v>
      </c>
      <c r="E17" s="4" t="s">
        <v>116</v>
      </c>
      <c r="F17" s="4" t="s">
        <v>117</v>
      </c>
      <c r="G17" s="4" t="s">
        <v>118</v>
      </c>
      <c r="H17" s="4" t="s">
        <v>119</v>
      </c>
      <c r="I17" s="4" t="s">
        <v>136</v>
      </c>
      <c r="J17" s="4" t="s">
        <v>99</v>
      </c>
    </row>
    <row r="18" spans="1:10">
      <c r="A18" s="6" t="s">
        <v>38</v>
      </c>
      <c r="B18" s="13" t="s">
        <v>121</v>
      </c>
      <c r="C18" s="6" t="s">
        <v>121</v>
      </c>
      <c r="D18" s="4" t="s">
        <v>122</v>
      </c>
      <c r="E18" s="4" t="s">
        <v>123</v>
      </c>
      <c r="F18" s="4" t="s">
        <v>124</v>
      </c>
      <c r="G18" s="4" t="s">
        <v>125</v>
      </c>
      <c r="H18" s="4" t="s">
        <v>126</v>
      </c>
      <c r="I18" s="4" t="s">
        <v>137</v>
      </c>
      <c r="J18" s="4" t="s">
        <v>99</v>
      </c>
    </row>
    <row r="19" spans="1:10">
      <c r="A19" s="6" t="s">
        <v>138</v>
      </c>
      <c r="B19" s="13" t="s">
        <v>92</v>
      </c>
      <c r="C19" s="6" t="s">
        <v>92</v>
      </c>
      <c r="D19" s="4" t="s">
        <v>93</v>
      </c>
      <c r="E19" s="4" t="s">
        <v>94</v>
      </c>
      <c r="F19" s="4" t="s">
        <v>95</v>
      </c>
      <c r="G19" s="4" t="s">
        <v>96</v>
      </c>
      <c r="H19" s="4" t="s">
        <v>97</v>
      </c>
      <c r="I19" s="4" t="s">
        <v>139</v>
      </c>
      <c r="J19" s="4" t="s">
        <v>99</v>
      </c>
    </row>
    <row r="20" spans="1:10">
      <c r="A20" s="6" t="s">
        <v>138</v>
      </c>
      <c r="B20" s="13" t="s">
        <v>100</v>
      </c>
      <c r="C20" s="6" t="s">
        <v>100</v>
      </c>
      <c r="D20" s="4" t="s">
        <v>101</v>
      </c>
      <c r="E20" s="4" t="s">
        <v>102</v>
      </c>
      <c r="F20" s="4" t="s">
        <v>103</v>
      </c>
      <c r="G20" s="4" t="s">
        <v>104</v>
      </c>
      <c r="H20" s="4" t="s">
        <v>105</v>
      </c>
      <c r="I20" s="4" t="s">
        <v>140</v>
      </c>
      <c r="J20" s="4" t="s">
        <v>99</v>
      </c>
    </row>
    <row r="21" spans="1:10">
      <c r="A21" s="6" t="s">
        <v>138</v>
      </c>
      <c r="B21" s="13" t="s">
        <v>107</v>
      </c>
      <c r="C21" s="6" t="s">
        <v>107</v>
      </c>
      <c r="D21" s="4" t="s">
        <v>108</v>
      </c>
      <c r="E21" s="4" t="s">
        <v>109</v>
      </c>
      <c r="F21" s="4" t="s">
        <v>110</v>
      </c>
      <c r="G21" s="4" t="s">
        <v>111</v>
      </c>
      <c r="H21" s="4" t="s">
        <v>112</v>
      </c>
      <c r="I21" s="4" t="s">
        <v>141</v>
      </c>
      <c r="J21" s="4" t="s">
        <v>99</v>
      </c>
    </row>
    <row r="22" spans="1:10">
      <c r="A22" s="6" t="s">
        <v>138</v>
      </c>
      <c r="B22" s="13" t="s">
        <v>114</v>
      </c>
      <c r="C22" s="6" t="s">
        <v>114</v>
      </c>
      <c r="D22" s="4" t="s">
        <v>115</v>
      </c>
      <c r="E22" s="4" t="s">
        <v>116</v>
      </c>
      <c r="F22" s="4" t="s">
        <v>117</v>
      </c>
      <c r="G22" s="4" t="s">
        <v>118</v>
      </c>
      <c r="H22" s="4" t="s">
        <v>119</v>
      </c>
      <c r="I22" s="4" t="s">
        <v>142</v>
      </c>
      <c r="J22" s="4" t="s">
        <v>99</v>
      </c>
    </row>
    <row r="23" spans="1:10">
      <c r="A23" s="6" t="s">
        <v>138</v>
      </c>
      <c r="B23" s="13" t="s">
        <v>121</v>
      </c>
      <c r="C23" s="6" t="s">
        <v>121</v>
      </c>
      <c r="D23" s="4" t="s">
        <v>122</v>
      </c>
      <c r="E23" s="4" t="s">
        <v>123</v>
      </c>
      <c r="F23" s="4" t="s">
        <v>124</v>
      </c>
      <c r="G23" s="4" t="s">
        <v>125</v>
      </c>
      <c r="H23" s="4" t="s">
        <v>126</v>
      </c>
      <c r="I23" s="4" t="s">
        <v>143</v>
      </c>
      <c r="J23" s="4" t="s">
        <v>99</v>
      </c>
    </row>
  </sheetData>
  <mergeCells count="2">
    <mergeCell ref="A1:J1"/>
    <mergeCell ref="A2:J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5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/>
    </sheetView>
  </sheetViews>
  <sheetFormatPr defaultRowHeight="15"/>
  <cols>
    <col min="1" max="1" width="8.7109375" customWidth="1"/>
    <col min="2" max="2" width="14.7109375" customWidth="1"/>
    <col min="3" max="3" width="40.7109375" customWidth="1"/>
    <col min="4" max="4" width="16.7109375" customWidth="1"/>
    <col min="5" max="5" width="12.7109375" customWidth="1"/>
    <col min="6" max="8" width="14.7109375" customWidth="1"/>
    <col min="9" max="9" width="9.7109375" customWidth="1"/>
    <col min="10" max="10" width="40.7109375" customWidth="1"/>
    <col min="11" max="11" width="22.7109375" customWidth="1"/>
    <col min="12" max="12" width="30.7109375" customWidth="1"/>
  </cols>
  <sheetData>
    <row r="1" spans="1:12">
      <c r="A1" s="1" t="s">
        <v>144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12" t="s">
        <v>145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</row>
    <row r="3" spans="1:12">
      <c r="A3" s="7" t="s">
        <v>83</v>
      </c>
      <c r="B3" s="7" t="s">
        <v>146</v>
      </c>
      <c r="C3" s="7" t="s">
        <v>147</v>
      </c>
      <c r="D3" s="7" t="s">
        <v>148</v>
      </c>
      <c r="E3" s="7" t="s">
        <v>149</v>
      </c>
      <c r="F3" s="7" t="s">
        <v>150</v>
      </c>
      <c r="G3" s="7" t="s">
        <v>151</v>
      </c>
      <c r="H3" s="7" t="s">
        <v>152</v>
      </c>
      <c r="I3" s="7" t="s">
        <v>153</v>
      </c>
      <c r="J3" s="7" t="s">
        <v>154</v>
      </c>
      <c r="K3" s="7" t="s">
        <v>155</v>
      </c>
      <c r="L3" s="7" t="s">
        <v>90</v>
      </c>
    </row>
    <row r="4" spans="1:12">
      <c r="A4" s="14" t="s">
        <v>156</v>
      </c>
      <c r="B4" s="4" t="s">
        <v>157</v>
      </c>
      <c r="C4" s="4" t="s">
        <v>158</v>
      </c>
      <c r="D4" s="6" t="s">
        <v>159</v>
      </c>
      <c r="E4" s="6" t="s">
        <v>47</v>
      </c>
      <c r="F4" s="6" t="s">
        <v>47</v>
      </c>
      <c r="G4" s="6" t="s">
        <v>47</v>
      </c>
      <c r="H4" s="6" t="s">
        <v>160</v>
      </c>
      <c r="I4" s="6" t="s">
        <v>161</v>
      </c>
      <c r="J4" s="4" t="s">
        <v>162</v>
      </c>
      <c r="K4" s="4" t="s">
        <v>163</v>
      </c>
      <c r="L4" s="4" t="s">
        <v>164</v>
      </c>
    </row>
    <row r="5" spans="1:12">
      <c r="A5" s="14" t="s">
        <v>156</v>
      </c>
      <c r="B5" s="4" t="s">
        <v>165</v>
      </c>
      <c r="C5" s="4" t="s">
        <v>166</v>
      </c>
      <c r="D5" s="6" t="s">
        <v>167</v>
      </c>
      <c r="E5" s="6" t="s">
        <v>168</v>
      </c>
      <c r="F5" s="6" t="s">
        <v>168</v>
      </c>
      <c r="G5" s="6" t="s">
        <v>168</v>
      </c>
      <c r="H5" s="6" t="s">
        <v>160</v>
      </c>
      <c r="I5" s="6" t="s">
        <v>161</v>
      </c>
      <c r="J5" s="4" t="s">
        <v>169</v>
      </c>
      <c r="K5" s="4" t="s">
        <v>170</v>
      </c>
      <c r="L5" s="4" t="s">
        <v>171</v>
      </c>
    </row>
    <row r="6" spans="1:12">
      <c r="A6" s="14" t="s">
        <v>156</v>
      </c>
      <c r="B6" s="4" t="s">
        <v>165</v>
      </c>
      <c r="C6" s="4" t="s">
        <v>172</v>
      </c>
      <c r="D6" s="6" t="s">
        <v>168</v>
      </c>
      <c r="E6" s="6" t="s">
        <v>168</v>
      </c>
      <c r="F6" s="6" t="s">
        <v>168</v>
      </c>
      <c r="G6" s="6" t="s">
        <v>168</v>
      </c>
      <c r="H6" s="6" t="s">
        <v>160</v>
      </c>
      <c r="I6" s="6" t="s">
        <v>161</v>
      </c>
      <c r="J6" s="4" t="s">
        <v>173</v>
      </c>
      <c r="K6" s="4" t="s">
        <v>163</v>
      </c>
      <c r="L6" s="4" t="s">
        <v>174</v>
      </c>
    </row>
    <row r="7" spans="1:12">
      <c r="A7" s="15" t="s">
        <v>92</v>
      </c>
      <c r="B7" s="4" t="s">
        <v>175</v>
      </c>
      <c r="C7" s="4" t="s">
        <v>176</v>
      </c>
      <c r="D7" s="6" t="s">
        <v>177</v>
      </c>
      <c r="E7" s="6" t="s">
        <v>32</v>
      </c>
      <c r="F7" s="6" t="s">
        <v>32</v>
      </c>
      <c r="G7" s="6" t="s">
        <v>178</v>
      </c>
      <c r="H7" s="6" t="s">
        <v>160</v>
      </c>
      <c r="I7" s="6" t="s">
        <v>179</v>
      </c>
      <c r="J7" s="4" t="s">
        <v>180</v>
      </c>
      <c r="K7" s="4" t="s">
        <v>163</v>
      </c>
      <c r="L7" s="4" t="s">
        <v>181</v>
      </c>
    </row>
    <row r="8" spans="1:12">
      <c r="A8" s="15" t="s">
        <v>92</v>
      </c>
      <c r="B8" s="4" t="s">
        <v>182</v>
      </c>
      <c r="C8" s="4" t="s">
        <v>183</v>
      </c>
      <c r="D8" s="6" t="s">
        <v>184</v>
      </c>
      <c r="E8" s="6" t="s">
        <v>185</v>
      </c>
      <c r="F8" s="6" t="s">
        <v>186</v>
      </c>
      <c r="G8" s="6" t="s">
        <v>187</v>
      </c>
      <c r="H8" s="6" t="s">
        <v>188</v>
      </c>
      <c r="I8" s="6" t="s">
        <v>189</v>
      </c>
      <c r="J8" s="4" t="s">
        <v>190</v>
      </c>
      <c r="K8" s="4" t="s">
        <v>191</v>
      </c>
      <c r="L8" s="4" t="s">
        <v>192</v>
      </c>
    </row>
    <row r="9" spans="1:12">
      <c r="A9" s="15" t="s">
        <v>92</v>
      </c>
      <c r="B9" s="4" t="s">
        <v>193</v>
      </c>
      <c r="C9" s="4" t="s">
        <v>194</v>
      </c>
      <c r="D9" s="6" t="s">
        <v>195</v>
      </c>
      <c r="E9" s="6" t="s">
        <v>32</v>
      </c>
      <c r="F9" s="6" t="s">
        <v>32</v>
      </c>
      <c r="G9" s="6" t="s">
        <v>47</v>
      </c>
      <c r="H9" s="6" t="s">
        <v>196</v>
      </c>
      <c r="I9" s="6" t="s">
        <v>197</v>
      </c>
      <c r="J9" s="4" t="s">
        <v>198</v>
      </c>
      <c r="K9" s="4" t="s">
        <v>163</v>
      </c>
      <c r="L9" s="4" t="s">
        <v>199</v>
      </c>
    </row>
    <row r="10" spans="1:12">
      <c r="A10" s="15" t="s">
        <v>92</v>
      </c>
      <c r="B10" s="4" t="s">
        <v>200</v>
      </c>
      <c r="C10" s="4" t="s">
        <v>201</v>
      </c>
      <c r="D10" s="6" t="s">
        <v>202</v>
      </c>
      <c r="E10" s="6" t="s">
        <v>203</v>
      </c>
      <c r="F10" s="6" t="s">
        <v>204</v>
      </c>
      <c r="G10" s="6" t="s">
        <v>205</v>
      </c>
      <c r="H10" s="6" t="s">
        <v>196</v>
      </c>
      <c r="I10" s="6" t="s">
        <v>189</v>
      </c>
      <c r="J10" s="4" t="s">
        <v>206</v>
      </c>
      <c r="K10" s="4" t="s">
        <v>163</v>
      </c>
      <c r="L10" s="4" t="s">
        <v>207</v>
      </c>
    </row>
    <row r="11" spans="1:12">
      <c r="A11" s="15" t="s">
        <v>92</v>
      </c>
      <c r="B11" s="4" t="s">
        <v>208</v>
      </c>
      <c r="C11" s="4" t="s">
        <v>209</v>
      </c>
      <c r="D11" s="6" t="s">
        <v>210</v>
      </c>
      <c r="E11" s="6" t="s">
        <v>33</v>
      </c>
      <c r="F11" s="6" t="s">
        <v>33</v>
      </c>
      <c r="G11" s="6" t="s">
        <v>47</v>
      </c>
      <c r="H11" s="6" t="s">
        <v>211</v>
      </c>
      <c r="I11" s="6" t="s">
        <v>212</v>
      </c>
      <c r="J11" s="4" t="s">
        <v>213</v>
      </c>
      <c r="K11" s="4" t="s">
        <v>163</v>
      </c>
      <c r="L11" s="4" t="s">
        <v>214</v>
      </c>
    </row>
    <row r="12" spans="1:12">
      <c r="A12" s="16" t="s">
        <v>100</v>
      </c>
      <c r="B12" s="4" t="s">
        <v>175</v>
      </c>
      <c r="C12" s="4" t="s">
        <v>215</v>
      </c>
      <c r="D12" s="6" t="s">
        <v>216</v>
      </c>
      <c r="E12" s="6" t="s">
        <v>32</v>
      </c>
      <c r="F12" s="6" t="s">
        <v>32</v>
      </c>
      <c r="G12" s="6" t="s">
        <v>46</v>
      </c>
      <c r="H12" s="6" t="s">
        <v>160</v>
      </c>
      <c r="I12" s="6" t="s">
        <v>179</v>
      </c>
      <c r="J12" s="4" t="s">
        <v>217</v>
      </c>
      <c r="K12" s="4" t="s">
        <v>163</v>
      </c>
      <c r="L12" s="4" t="s">
        <v>218</v>
      </c>
    </row>
    <row r="13" spans="1:12">
      <c r="A13" s="16" t="s">
        <v>100</v>
      </c>
      <c r="B13" s="4" t="s">
        <v>219</v>
      </c>
      <c r="C13" s="4" t="s">
        <v>220</v>
      </c>
      <c r="D13" s="6" t="s">
        <v>221</v>
      </c>
      <c r="E13" s="6" t="s">
        <v>222</v>
      </c>
      <c r="F13" s="6" t="s">
        <v>223</v>
      </c>
      <c r="G13" s="6" t="s">
        <v>224</v>
      </c>
      <c r="H13" s="6" t="s">
        <v>196</v>
      </c>
      <c r="I13" s="6" t="s">
        <v>225</v>
      </c>
      <c r="J13" s="4" t="s">
        <v>226</v>
      </c>
      <c r="K13" s="4" t="s">
        <v>227</v>
      </c>
      <c r="L13" s="4" t="s">
        <v>228</v>
      </c>
    </row>
    <row r="14" spans="1:12">
      <c r="A14" s="16" t="s">
        <v>100</v>
      </c>
      <c r="B14" s="4" t="s">
        <v>229</v>
      </c>
      <c r="C14" s="4" t="s">
        <v>230</v>
      </c>
      <c r="D14" s="6" t="s">
        <v>231</v>
      </c>
      <c r="E14" s="6" t="s">
        <v>223</v>
      </c>
      <c r="F14" s="6" t="s">
        <v>232</v>
      </c>
      <c r="G14" s="6" t="s">
        <v>233</v>
      </c>
      <c r="H14" s="6" t="s">
        <v>196</v>
      </c>
      <c r="I14" s="6" t="s">
        <v>225</v>
      </c>
      <c r="J14" s="4" t="s">
        <v>234</v>
      </c>
      <c r="K14" s="4" t="s">
        <v>163</v>
      </c>
      <c r="L14" s="4" t="s">
        <v>235</v>
      </c>
    </row>
    <row r="15" spans="1:12">
      <c r="A15" s="16" t="s">
        <v>100</v>
      </c>
      <c r="B15" s="4" t="s">
        <v>236</v>
      </c>
      <c r="C15" s="4" t="s">
        <v>237</v>
      </c>
      <c r="D15" s="6" t="s">
        <v>238</v>
      </c>
      <c r="E15" s="6" t="s">
        <v>32</v>
      </c>
      <c r="F15" s="6" t="s">
        <v>32</v>
      </c>
      <c r="G15" s="6" t="s">
        <v>33</v>
      </c>
      <c r="H15" s="6" t="s">
        <v>239</v>
      </c>
      <c r="I15" s="6" t="s">
        <v>212</v>
      </c>
      <c r="J15" s="4" t="s">
        <v>240</v>
      </c>
      <c r="K15" s="4" t="s">
        <v>163</v>
      </c>
      <c r="L15" s="4" t="s">
        <v>241</v>
      </c>
    </row>
    <row r="16" spans="1:12">
      <c r="A16" s="16" t="s">
        <v>100</v>
      </c>
      <c r="B16" s="4" t="s">
        <v>242</v>
      </c>
      <c r="C16" s="4" t="s">
        <v>243</v>
      </c>
      <c r="D16" s="6" t="s">
        <v>244</v>
      </c>
      <c r="E16" s="6" t="s">
        <v>32</v>
      </c>
      <c r="F16" s="6" t="s">
        <v>32</v>
      </c>
      <c r="G16" s="6" t="s">
        <v>33</v>
      </c>
      <c r="H16" s="6" t="s">
        <v>245</v>
      </c>
      <c r="I16" s="6" t="s">
        <v>246</v>
      </c>
      <c r="J16" s="4" t="s">
        <v>247</v>
      </c>
      <c r="K16" s="4" t="s">
        <v>248</v>
      </c>
      <c r="L16" s="4" t="s">
        <v>249</v>
      </c>
    </row>
    <row r="17" spans="1:12">
      <c r="A17" s="17" t="s">
        <v>107</v>
      </c>
      <c r="B17" s="4" t="s">
        <v>250</v>
      </c>
      <c r="C17" s="4" t="s">
        <v>251</v>
      </c>
      <c r="D17" s="6" t="s">
        <v>252</v>
      </c>
      <c r="E17" s="6" t="s">
        <v>37</v>
      </c>
      <c r="F17" s="6" t="s">
        <v>37</v>
      </c>
      <c r="G17" s="6" t="s">
        <v>37</v>
      </c>
      <c r="H17" s="6" t="s">
        <v>253</v>
      </c>
      <c r="I17" s="6" t="s">
        <v>161</v>
      </c>
      <c r="J17" s="4" t="s">
        <v>254</v>
      </c>
      <c r="K17" s="4" t="s">
        <v>255</v>
      </c>
      <c r="L17" s="4" t="s">
        <v>256</v>
      </c>
    </row>
    <row r="18" spans="1:12">
      <c r="A18" s="17" t="s">
        <v>107</v>
      </c>
      <c r="B18" s="4" t="s">
        <v>257</v>
      </c>
      <c r="C18" s="4" t="s">
        <v>258</v>
      </c>
      <c r="D18" s="6" t="s">
        <v>259</v>
      </c>
      <c r="E18" s="6" t="s">
        <v>231</v>
      </c>
      <c r="F18" s="6" t="s">
        <v>260</v>
      </c>
      <c r="G18" s="6" t="s">
        <v>224</v>
      </c>
      <c r="H18" s="6" t="s">
        <v>196</v>
      </c>
      <c r="I18" s="6" t="s">
        <v>225</v>
      </c>
      <c r="J18" s="4" t="s">
        <v>261</v>
      </c>
      <c r="K18" s="4" t="s">
        <v>262</v>
      </c>
      <c r="L18" s="4" t="s">
        <v>263</v>
      </c>
    </row>
    <row r="19" spans="1:12">
      <c r="A19" s="17" t="s">
        <v>107</v>
      </c>
      <c r="B19" s="4" t="s">
        <v>264</v>
      </c>
      <c r="C19" s="4" t="s">
        <v>265</v>
      </c>
      <c r="D19" s="6" t="s">
        <v>221</v>
      </c>
      <c r="E19" s="6" t="s">
        <v>221</v>
      </c>
      <c r="F19" s="6" t="s">
        <v>266</v>
      </c>
      <c r="G19" s="6" t="s">
        <v>267</v>
      </c>
      <c r="H19" s="6" t="s">
        <v>196</v>
      </c>
      <c r="I19" s="6" t="s">
        <v>197</v>
      </c>
      <c r="J19" s="4" t="s">
        <v>268</v>
      </c>
      <c r="K19" s="4" t="s">
        <v>269</v>
      </c>
      <c r="L19" s="4" t="s">
        <v>263</v>
      </c>
    </row>
    <row r="20" spans="1:12">
      <c r="A20" s="17" t="s">
        <v>107</v>
      </c>
      <c r="B20" s="4" t="s">
        <v>270</v>
      </c>
      <c r="C20" s="4" t="s">
        <v>271</v>
      </c>
      <c r="D20" s="6" t="s">
        <v>221</v>
      </c>
      <c r="E20" s="6" t="s">
        <v>32</v>
      </c>
      <c r="F20" s="6" t="s">
        <v>32</v>
      </c>
      <c r="G20" s="6" t="s">
        <v>33</v>
      </c>
      <c r="H20" s="6" t="s">
        <v>272</v>
      </c>
      <c r="I20" s="6" t="s">
        <v>273</v>
      </c>
      <c r="J20" s="4" t="s">
        <v>274</v>
      </c>
      <c r="K20" s="4" t="s">
        <v>275</v>
      </c>
      <c r="L20" s="4" t="s">
        <v>276</v>
      </c>
    </row>
    <row r="21" spans="1:12">
      <c r="A21" s="17" t="s">
        <v>107</v>
      </c>
      <c r="B21" s="4" t="s">
        <v>277</v>
      </c>
      <c r="C21" s="4" t="s">
        <v>278</v>
      </c>
      <c r="D21" s="6" t="s">
        <v>279</v>
      </c>
      <c r="E21" s="6" t="s">
        <v>32</v>
      </c>
      <c r="F21" s="6" t="s">
        <v>32</v>
      </c>
      <c r="G21" s="6" t="s">
        <v>33</v>
      </c>
      <c r="H21" s="6" t="s">
        <v>272</v>
      </c>
      <c r="I21" s="6" t="s">
        <v>246</v>
      </c>
      <c r="J21" s="4" t="s">
        <v>226</v>
      </c>
      <c r="K21" s="4" t="s">
        <v>163</v>
      </c>
      <c r="L21" s="4" t="s">
        <v>280</v>
      </c>
    </row>
    <row r="22" spans="1:12">
      <c r="A22" s="17" t="s">
        <v>107</v>
      </c>
      <c r="B22" s="4" t="s">
        <v>281</v>
      </c>
      <c r="C22" s="4" t="s">
        <v>282</v>
      </c>
      <c r="D22" s="6" t="s">
        <v>159</v>
      </c>
      <c r="E22" s="6" t="s">
        <v>47</v>
      </c>
      <c r="F22" s="6" t="s">
        <v>47</v>
      </c>
      <c r="G22" s="6" t="s">
        <v>47</v>
      </c>
      <c r="H22" s="6" t="s">
        <v>160</v>
      </c>
      <c r="I22" s="6" t="s">
        <v>161</v>
      </c>
      <c r="J22" s="4" t="s">
        <v>283</v>
      </c>
      <c r="K22" s="4" t="s">
        <v>284</v>
      </c>
      <c r="L22" s="4" t="s">
        <v>285</v>
      </c>
    </row>
    <row r="23" spans="1:12">
      <c r="A23" s="17" t="s">
        <v>107</v>
      </c>
      <c r="B23" s="4" t="s">
        <v>242</v>
      </c>
      <c r="C23" s="4" t="s">
        <v>286</v>
      </c>
      <c r="D23" s="6" t="s">
        <v>287</v>
      </c>
      <c r="E23" s="6" t="s">
        <v>32</v>
      </c>
      <c r="F23" s="6" t="s">
        <v>32</v>
      </c>
      <c r="G23" s="6" t="s">
        <v>33</v>
      </c>
      <c r="H23" s="6" t="s">
        <v>245</v>
      </c>
      <c r="I23" s="6" t="s">
        <v>212</v>
      </c>
      <c r="J23" s="4" t="s">
        <v>288</v>
      </c>
      <c r="K23" s="4" t="s">
        <v>289</v>
      </c>
      <c r="L23" s="4" t="s">
        <v>290</v>
      </c>
    </row>
    <row r="24" spans="1:12">
      <c r="A24" s="18" t="s">
        <v>114</v>
      </c>
      <c r="B24" s="4" t="s">
        <v>157</v>
      </c>
      <c r="C24" s="4" t="s">
        <v>291</v>
      </c>
      <c r="D24" s="6" t="s">
        <v>159</v>
      </c>
      <c r="E24" s="6" t="s">
        <v>47</v>
      </c>
      <c r="F24" s="6" t="s">
        <v>47</v>
      </c>
      <c r="G24" s="6" t="s">
        <v>47</v>
      </c>
      <c r="H24" s="6" t="s">
        <v>160</v>
      </c>
      <c r="I24" s="6" t="s">
        <v>161</v>
      </c>
      <c r="J24" s="4" t="s">
        <v>292</v>
      </c>
      <c r="K24" s="4" t="s">
        <v>163</v>
      </c>
      <c r="L24" s="4" t="s">
        <v>293</v>
      </c>
    </row>
    <row r="25" spans="1:12">
      <c r="A25" s="18" t="s">
        <v>114</v>
      </c>
      <c r="B25" s="4" t="s">
        <v>294</v>
      </c>
      <c r="C25" s="4" t="s">
        <v>295</v>
      </c>
      <c r="D25" s="6" t="s">
        <v>296</v>
      </c>
      <c r="E25" s="6" t="s">
        <v>297</v>
      </c>
      <c r="F25" s="6" t="s">
        <v>298</v>
      </c>
      <c r="G25" s="6" t="s">
        <v>299</v>
      </c>
      <c r="H25" s="6" t="s">
        <v>160</v>
      </c>
      <c r="I25" s="6" t="s">
        <v>225</v>
      </c>
      <c r="J25" s="4" t="s">
        <v>119</v>
      </c>
      <c r="K25" s="4" t="s">
        <v>300</v>
      </c>
      <c r="L25" s="4" t="s">
        <v>301</v>
      </c>
    </row>
    <row r="26" spans="1:12">
      <c r="A26" s="18" t="s">
        <v>114</v>
      </c>
      <c r="B26" s="4" t="s">
        <v>294</v>
      </c>
      <c r="C26" s="4" t="s">
        <v>302</v>
      </c>
      <c r="D26" s="6" t="s">
        <v>177</v>
      </c>
      <c r="E26" s="6" t="s">
        <v>303</v>
      </c>
      <c r="F26" s="6" t="s">
        <v>297</v>
      </c>
      <c r="G26" s="6" t="s">
        <v>299</v>
      </c>
      <c r="H26" s="6" t="s">
        <v>160</v>
      </c>
      <c r="I26" s="6" t="s">
        <v>225</v>
      </c>
      <c r="J26" s="4" t="s">
        <v>304</v>
      </c>
      <c r="K26" s="4" t="s">
        <v>305</v>
      </c>
      <c r="L26" s="4" t="s">
        <v>306</v>
      </c>
    </row>
    <row r="27" spans="1:12">
      <c r="A27" s="18" t="s">
        <v>114</v>
      </c>
      <c r="B27" s="4" t="s">
        <v>307</v>
      </c>
      <c r="C27" s="4" t="s">
        <v>308</v>
      </c>
      <c r="D27" s="6" t="s">
        <v>309</v>
      </c>
      <c r="E27" s="6" t="s">
        <v>310</v>
      </c>
      <c r="F27" s="6" t="s">
        <v>311</v>
      </c>
      <c r="G27" s="6" t="s">
        <v>312</v>
      </c>
      <c r="H27" s="6" t="s">
        <v>239</v>
      </c>
      <c r="I27" s="6" t="s">
        <v>197</v>
      </c>
      <c r="J27" s="4" t="s">
        <v>313</v>
      </c>
      <c r="K27" s="4" t="s">
        <v>170</v>
      </c>
      <c r="L27" s="4" t="s">
        <v>314</v>
      </c>
    </row>
    <row r="28" spans="1:12">
      <c r="A28" s="18" t="s">
        <v>114</v>
      </c>
      <c r="B28" s="4" t="s">
        <v>315</v>
      </c>
      <c r="C28" s="4" t="s">
        <v>316</v>
      </c>
      <c r="D28" s="6" t="s">
        <v>317</v>
      </c>
      <c r="E28" s="6" t="s">
        <v>318</v>
      </c>
      <c r="F28" s="6" t="s">
        <v>319</v>
      </c>
      <c r="G28" s="6" t="s">
        <v>320</v>
      </c>
      <c r="H28" s="6" t="s">
        <v>196</v>
      </c>
      <c r="I28" s="6" t="s">
        <v>225</v>
      </c>
      <c r="J28" s="4" t="s">
        <v>321</v>
      </c>
      <c r="K28" s="4" t="s">
        <v>322</v>
      </c>
      <c r="L28" s="4" t="s">
        <v>323</v>
      </c>
    </row>
    <row r="29" spans="1:12">
      <c r="A29" s="18" t="s">
        <v>114</v>
      </c>
      <c r="B29" s="4" t="s">
        <v>324</v>
      </c>
      <c r="C29" s="4" t="s">
        <v>325</v>
      </c>
      <c r="D29" s="6" t="s">
        <v>326</v>
      </c>
      <c r="E29" s="6" t="s">
        <v>32</v>
      </c>
      <c r="F29" s="6" t="s">
        <v>32</v>
      </c>
      <c r="G29" s="6" t="s">
        <v>33</v>
      </c>
      <c r="H29" s="6" t="s">
        <v>272</v>
      </c>
      <c r="I29" s="6" t="s">
        <v>273</v>
      </c>
      <c r="J29" s="4" t="s">
        <v>327</v>
      </c>
      <c r="K29" s="4" t="s">
        <v>328</v>
      </c>
      <c r="L29" s="4" t="s">
        <v>324</v>
      </c>
    </row>
    <row r="30" spans="1:12">
      <c r="A30" s="19" t="s">
        <v>121</v>
      </c>
      <c r="B30" s="4" t="s">
        <v>329</v>
      </c>
      <c r="C30" s="4" t="s">
        <v>330</v>
      </c>
      <c r="D30" s="6" t="s">
        <v>331</v>
      </c>
      <c r="E30" s="6" t="s">
        <v>332</v>
      </c>
      <c r="F30" s="6" t="s">
        <v>331</v>
      </c>
      <c r="G30" s="6" t="s">
        <v>312</v>
      </c>
      <c r="H30" s="6" t="s">
        <v>333</v>
      </c>
      <c r="I30" s="6" t="s">
        <v>197</v>
      </c>
      <c r="J30" s="4" t="s">
        <v>334</v>
      </c>
      <c r="K30" s="4" t="s">
        <v>163</v>
      </c>
      <c r="L30" s="4" t="s">
        <v>335</v>
      </c>
    </row>
    <row r="31" spans="1:12">
      <c r="A31" s="19" t="s">
        <v>121</v>
      </c>
      <c r="B31" s="4" t="s">
        <v>336</v>
      </c>
      <c r="C31" s="4" t="s">
        <v>337</v>
      </c>
      <c r="D31" s="6" t="s">
        <v>221</v>
      </c>
      <c r="E31" s="6" t="s">
        <v>338</v>
      </c>
      <c r="F31" s="6" t="s">
        <v>266</v>
      </c>
      <c r="G31" s="6" t="s">
        <v>267</v>
      </c>
      <c r="H31" s="6" t="s">
        <v>196</v>
      </c>
      <c r="I31" s="6" t="s">
        <v>273</v>
      </c>
      <c r="J31" s="4" t="s">
        <v>339</v>
      </c>
      <c r="K31" s="4" t="s">
        <v>163</v>
      </c>
      <c r="L31" s="4" t="s">
        <v>340</v>
      </c>
    </row>
    <row r="32" spans="1:12">
      <c r="A32" s="19" t="s">
        <v>121</v>
      </c>
      <c r="B32" s="4" t="s">
        <v>341</v>
      </c>
      <c r="C32" s="4" t="s">
        <v>342</v>
      </c>
      <c r="D32" s="6" t="s">
        <v>221</v>
      </c>
      <c r="E32" s="6" t="s">
        <v>222</v>
      </c>
      <c r="F32" s="6" t="s">
        <v>266</v>
      </c>
      <c r="G32" s="6" t="s">
        <v>267</v>
      </c>
      <c r="H32" s="6" t="s">
        <v>196</v>
      </c>
      <c r="I32" s="6" t="s">
        <v>273</v>
      </c>
      <c r="J32" s="4" t="s">
        <v>343</v>
      </c>
      <c r="K32" s="4" t="s">
        <v>163</v>
      </c>
      <c r="L32" s="4" t="s">
        <v>344</v>
      </c>
    </row>
    <row r="33" spans="1:12">
      <c r="A33" s="19" t="s">
        <v>121</v>
      </c>
      <c r="B33" s="4" t="s">
        <v>236</v>
      </c>
      <c r="C33" s="4" t="s">
        <v>345</v>
      </c>
      <c r="D33" s="6" t="s">
        <v>238</v>
      </c>
      <c r="E33" s="6" t="s">
        <v>32</v>
      </c>
      <c r="F33" s="6" t="s">
        <v>32</v>
      </c>
      <c r="G33" s="6" t="s">
        <v>33</v>
      </c>
      <c r="H33" s="6" t="s">
        <v>239</v>
      </c>
      <c r="I33" s="6" t="s">
        <v>246</v>
      </c>
      <c r="J33" s="4" t="s">
        <v>346</v>
      </c>
      <c r="K33" s="4" t="s">
        <v>163</v>
      </c>
      <c r="L33" s="4" t="s">
        <v>347</v>
      </c>
    </row>
    <row r="34" spans="1:12">
      <c r="A34" s="19" t="s">
        <v>121</v>
      </c>
      <c r="B34" s="4" t="s">
        <v>348</v>
      </c>
      <c r="C34" s="4" t="s">
        <v>349</v>
      </c>
      <c r="D34" s="6" t="s">
        <v>210</v>
      </c>
      <c r="E34" s="6" t="s">
        <v>37</v>
      </c>
      <c r="F34" s="6" t="s">
        <v>33</v>
      </c>
      <c r="G34" s="6" t="s">
        <v>47</v>
      </c>
      <c r="H34" s="6" t="s">
        <v>272</v>
      </c>
      <c r="I34" s="6" t="s">
        <v>246</v>
      </c>
      <c r="J34" s="4" t="s">
        <v>350</v>
      </c>
      <c r="K34" s="4" t="s">
        <v>163</v>
      </c>
      <c r="L34" s="4" t="s">
        <v>351</v>
      </c>
    </row>
    <row r="35" spans="1:12">
      <c r="A35" s="19" t="s">
        <v>121</v>
      </c>
      <c r="B35" s="4" t="s">
        <v>352</v>
      </c>
      <c r="C35" s="4" t="s">
        <v>126</v>
      </c>
      <c r="D35" s="6" t="s">
        <v>159</v>
      </c>
      <c r="E35" s="6" t="s">
        <v>47</v>
      </c>
      <c r="F35" s="6" t="s">
        <v>47</v>
      </c>
      <c r="G35" s="6" t="s">
        <v>47</v>
      </c>
      <c r="H35" s="6" t="s">
        <v>160</v>
      </c>
      <c r="I35" s="6" t="s">
        <v>161</v>
      </c>
      <c r="J35" s="4" t="s">
        <v>353</v>
      </c>
      <c r="K35" s="4" t="s">
        <v>354</v>
      </c>
      <c r="L35" s="4" t="s">
        <v>355</v>
      </c>
    </row>
  </sheetData>
  <mergeCells count="2">
    <mergeCell ref="A1:L1"/>
    <mergeCell ref="A2:L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43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2.7109375" customWidth="1"/>
    <col min="2" max="2" width="46.7109375" customWidth="1"/>
    <col min="3" max="3" width="30.7109375" customWidth="1"/>
    <col min="4" max="4" width="12.7109375" customWidth="1"/>
    <col min="5" max="5" width="24.7109375" customWidth="1"/>
    <col min="6" max="8" width="11.7109375" customWidth="1"/>
    <col min="11" max="11" width="12.7109375" customWidth="1"/>
  </cols>
  <sheetData>
    <row r="1" spans="1:11">
      <c r="A1" s="1" t="s">
        <v>356</v>
      </c>
      <c r="B1" s="1"/>
      <c r="C1" s="1"/>
      <c r="D1" s="1"/>
      <c r="E1" s="1"/>
      <c r="F1" s="1"/>
      <c r="G1" s="1"/>
      <c r="H1" s="1"/>
    </row>
    <row r="2" spans="1:11">
      <c r="A2" s="12" t="s">
        <v>357</v>
      </c>
      <c r="B2" s="12"/>
      <c r="C2" s="12"/>
      <c r="D2" s="12"/>
      <c r="E2" s="12"/>
      <c r="F2" s="12"/>
      <c r="G2" s="12"/>
      <c r="H2" s="12"/>
    </row>
    <row r="3" spans="1:11">
      <c r="A3" s="7" t="s">
        <v>358</v>
      </c>
      <c r="B3" s="7" t="s">
        <v>359</v>
      </c>
      <c r="C3" s="7" t="s">
        <v>360</v>
      </c>
      <c r="D3" s="7" t="s">
        <v>361</v>
      </c>
      <c r="E3" s="7" t="s">
        <v>362</v>
      </c>
      <c r="F3" s="7" t="s">
        <v>363</v>
      </c>
      <c r="G3" s="7" t="s">
        <v>364</v>
      </c>
      <c r="H3" s="7" t="s">
        <v>365</v>
      </c>
      <c r="K3" s="7" t="s">
        <v>518</v>
      </c>
    </row>
    <row r="4" spans="1:11">
      <c r="A4" s="6" t="s">
        <v>366</v>
      </c>
      <c r="B4" s="4" t="s">
        <v>367</v>
      </c>
      <c r="C4" s="4" t="s">
        <v>368</v>
      </c>
      <c r="D4" s="6" t="s">
        <v>369</v>
      </c>
      <c r="E4" s="4" t="s">
        <v>370</v>
      </c>
      <c r="F4" s="6" t="s">
        <v>371</v>
      </c>
      <c r="G4" s="6" t="s">
        <v>371</v>
      </c>
      <c r="H4" s="6" t="s">
        <v>371</v>
      </c>
      <c r="K4" s="6" t="s">
        <v>92</v>
      </c>
    </row>
    <row r="5" spans="1:11">
      <c r="A5" s="6" t="s">
        <v>372</v>
      </c>
      <c r="B5" s="4" t="s">
        <v>373</v>
      </c>
      <c r="C5" s="4" t="s">
        <v>374</v>
      </c>
      <c r="D5" s="6" t="s">
        <v>375</v>
      </c>
      <c r="E5" s="4" t="s">
        <v>376</v>
      </c>
      <c r="F5" s="6" t="s">
        <v>371</v>
      </c>
      <c r="G5" s="6" t="s">
        <v>377</v>
      </c>
      <c r="H5" s="6" t="s">
        <v>377</v>
      </c>
      <c r="K5" s="6" t="s">
        <v>100</v>
      </c>
    </row>
    <row r="6" spans="1:11">
      <c r="A6" s="6" t="s">
        <v>378</v>
      </c>
      <c r="B6" s="4" t="s">
        <v>379</v>
      </c>
      <c r="C6" s="4" t="s">
        <v>380</v>
      </c>
      <c r="D6" s="6" t="s">
        <v>375</v>
      </c>
      <c r="E6" s="4" t="s">
        <v>376</v>
      </c>
      <c r="F6" s="6" t="s">
        <v>371</v>
      </c>
      <c r="G6" s="6" t="s">
        <v>377</v>
      </c>
      <c r="H6" s="6" t="s">
        <v>377</v>
      </c>
      <c r="K6" s="6" t="s">
        <v>107</v>
      </c>
    </row>
    <row r="7" spans="1:11">
      <c r="A7" s="6" t="s">
        <v>381</v>
      </c>
      <c r="B7" s="4" t="s">
        <v>382</v>
      </c>
      <c r="C7" s="4" t="s">
        <v>383</v>
      </c>
      <c r="D7" s="6" t="s">
        <v>375</v>
      </c>
      <c r="E7" s="4" t="s">
        <v>376</v>
      </c>
      <c r="F7" s="6" t="s">
        <v>371</v>
      </c>
      <c r="G7" s="6" t="s">
        <v>377</v>
      </c>
      <c r="H7" s="6" t="s">
        <v>371</v>
      </c>
      <c r="K7" s="6" t="s">
        <v>114</v>
      </c>
    </row>
    <row r="8" spans="1:11">
      <c r="A8" s="6" t="s">
        <v>384</v>
      </c>
      <c r="B8" s="4" t="s">
        <v>385</v>
      </c>
      <c r="C8" s="4" t="s">
        <v>386</v>
      </c>
      <c r="D8" s="6" t="s">
        <v>387</v>
      </c>
      <c r="E8" s="4" t="s">
        <v>388</v>
      </c>
      <c r="F8" s="6" t="s">
        <v>371</v>
      </c>
      <c r="G8" s="6" t="s">
        <v>377</v>
      </c>
      <c r="H8" s="6" t="s">
        <v>377</v>
      </c>
      <c r="K8" s="6" t="s">
        <v>121</v>
      </c>
    </row>
    <row r="9" spans="1:11">
      <c r="A9" s="6" t="s">
        <v>389</v>
      </c>
      <c r="B9" s="4" t="s">
        <v>390</v>
      </c>
      <c r="C9" s="4" t="s">
        <v>391</v>
      </c>
      <c r="D9" s="6" t="s">
        <v>387</v>
      </c>
      <c r="E9" s="4" t="s">
        <v>388</v>
      </c>
      <c r="F9" s="6" t="s">
        <v>371</v>
      </c>
      <c r="G9" s="6" t="s">
        <v>377</v>
      </c>
      <c r="H9" s="6" t="s">
        <v>377</v>
      </c>
      <c r="K9" s="6" t="s">
        <v>153</v>
      </c>
    </row>
    <row r="10" spans="1:11">
      <c r="A10" s="6" t="s">
        <v>392</v>
      </c>
      <c r="B10" s="4" t="s">
        <v>393</v>
      </c>
      <c r="C10" s="4" t="s">
        <v>394</v>
      </c>
      <c r="D10" s="6" t="s">
        <v>193</v>
      </c>
      <c r="E10" s="4" t="s">
        <v>395</v>
      </c>
      <c r="F10" s="6" t="s">
        <v>371</v>
      </c>
      <c r="G10" s="6" t="s">
        <v>371</v>
      </c>
      <c r="H10" s="6" t="s">
        <v>371</v>
      </c>
    </row>
    <row r="11" spans="1:11">
      <c r="A11" s="6" t="s">
        <v>396</v>
      </c>
      <c r="B11" s="4" t="s">
        <v>397</v>
      </c>
      <c r="C11" s="4" t="s">
        <v>398</v>
      </c>
      <c r="D11" s="6" t="s">
        <v>193</v>
      </c>
      <c r="E11" s="4" t="s">
        <v>399</v>
      </c>
      <c r="F11" s="6" t="s">
        <v>371</v>
      </c>
      <c r="G11" s="6" t="s">
        <v>377</v>
      </c>
      <c r="H11" s="6" t="s">
        <v>371</v>
      </c>
    </row>
    <row r="12" spans="1:11">
      <c r="A12" s="6" t="s">
        <v>400</v>
      </c>
      <c r="B12" s="4" t="s">
        <v>401</v>
      </c>
      <c r="C12" s="4" t="s">
        <v>402</v>
      </c>
      <c r="D12" s="6" t="s">
        <v>193</v>
      </c>
      <c r="E12" s="4" t="s">
        <v>399</v>
      </c>
      <c r="F12" s="6" t="s">
        <v>371</v>
      </c>
      <c r="G12" s="6" t="s">
        <v>377</v>
      </c>
      <c r="H12" s="6" t="s">
        <v>371</v>
      </c>
    </row>
    <row r="13" spans="1:11">
      <c r="A13" s="6" t="s">
        <v>403</v>
      </c>
      <c r="B13" s="4" t="s">
        <v>404</v>
      </c>
      <c r="C13" s="4" t="s">
        <v>201</v>
      </c>
      <c r="D13" s="6" t="s">
        <v>405</v>
      </c>
      <c r="E13" s="4" t="s">
        <v>406</v>
      </c>
      <c r="F13" s="6" t="s">
        <v>377</v>
      </c>
      <c r="G13" s="6" t="s">
        <v>371</v>
      </c>
      <c r="H13" s="6" t="s">
        <v>371</v>
      </c>
    </row>
    <row r="14" spans="1:11">
      <c r="A14" s="6" t="s">
        <v>407</v>
      </c>
      <c r="B14" s="4" t="s">
        <v>408</v>
      </c>
      <c r="C14" s="4" t="s">
        <v>409</v>
      </c>
      <c r="D14" s="6" t="s">
        <v>405</v>
      </c>
      <c r="E14" s="4" t="s">
        <v>406</v>
      </c>
      <c r="F14" s="6" t="s">
        <v>377</v>
      </c>
      <c r="G14" s="6" t="s">
        <v>371</v>
      </c>
      <c r="H14" s="6" t="s">
        <v>371</v>
      </c>
    </row>
    <row r="15" spans="1:11">
      <c r="A15" s="6" t="s">
        <v>410</v>
      </c>
      <c r="B15" s="4" t="s">
        <v>411</v>
      </c>
      <c r="C15" s="4" t="s">
        <v>412</v>
      </c>
      <c r="D15" s="6" t="s">
        <v>405</v>
      </c>
      <c r="E15" s="4" t="s">
        <v>406</v>
      </c>
      <c r="F15" s="6" t="s">
        <v>377</v>
      </c>
      <c r="G15" s="6" t="s">
        <v>371</v>
      </c>
      <c r="H15" s="6" t="s">
        <v>371</v>
      </c>
    </row>
    <row r="16" spans="1:11">
      <c r="A16" s="6" t="s">
        <v>413</v>
      </c>
      <c r="B16" s="4" t="s">
        <v>414</v>
      </c>
      <c r="C16" s="4" t="s">
        <v>415</v>
      </c>
      <c r="D16" s="6" t="s">
        <v>405</v>
      </c>
      <c r="E16" s="4" t="s">
        <v>416</v>
      </c>
      <c r="F16" s="6" t="s">
        <v>377</v>
      </c>
      <c r="G16" s="6" t="s">
        <v>371</v>
      </c>
      <c r="H16" s="6" t="s">
        <v>371</v>
      </c>
    </row>
    <row r="17" spans="1:8">
      <c r="A17" s="6" t="s">
        <v>417</v>
      </c>
      <c r="B17" s="4" t="s">
        <v>418</v>
      </c>
      <c r="C17" s="4" t="s">
        <v>419</v>
      </c>
      <c r="D17" s="6" t="s">
        <v>405</v>
      </c>
      <c r="E17" s="4" t="s">
        <v>420</v>
      </c>
      <c r="F17" s="6" t="s">
        <v>377</v>
      </c>
      <c r="G17" s="6" t="s">
        <v>371</v>
      </c>
      <c r="H17" s="6" t="s">
        <v>371</v>
      </c>
    </row>
    <row r="18" spans="1:8">
      <c r="A18" s="6" t="s">
        <v>421</v>
      </c>
      <c r="B18" s="4" t="s">
        <v>422</v>
      </c>
      <c r="C18" s="4" t="s">
        <v>423</v>
      </c>
      <c r="D18" s="6" t="s">
        <v>405</v>
      </c>
      <c r="E18" s="4" t="s">
        <v>420</v>
      </c>
      <c r="F18" s="6" t="s">
        <v>377</v>
      </c>
      <c r="G18" s="6" t="s">
        <v>371</v>
      </c>
      <c r="H18" s="6" t="s">
        <v>377</v>
      </c>
    </row>
    <row r="19" spans="1:8">
      <c r="A19" s="6" t="s">
        <v>424</v>
      </c>
      <c r="B19" s="4" t="s">
        <v>425</v>
      </c>
      <c r="C19" s="4" t="s">
        <v>426</v>
      </c>
      <c r="D19" s="6" t="s">
        <v>405</v>
      </c>
      <c r="E19" s="4" t="s">
        <v>427</v>
      </c>
      <c r="F19" s="6" t="s">
        <v>377</v>
      </c>
      <c r="G19" s="6" t="s">
        <v>371</v>
      </c>
      <c r="H19" s="6" t="s">
        <v>371</v>
      </c>
    </row>
    <row r="20" spans="1:8">
      <c r="A20" s="6" t="s">
        <v>428</v>
      </c>
      <c r="B20" s="4" t="s">
        <v>429</v>
      </c>
      <c r="C20" s="4" t="s">
        <v>430</v>
      </c>
      <c r="D20" s="6" t="s">
        <v>405</v>
      </c>
      <c r="E20" s="4" t="s">
        <v>431</v>
      </c>
      <c r="F20" s="6" t="s">
        <v>377</v>
      </c>
      <c r="G20" s="6" t="s">
        <v>371</v>
      </c>
      <c r="H20" s="6" t="s">
        <v>371</v>
      </c>
    </row>
    <row r="21" spans="1:8">
      <c r="A21" s="6" t="s">
        <v>432</v>
      </c>
      <c r="B21" s="4" t="s">
        <v>433</v>
      </c>
      <c r="C21" s="4" t="s">
        <v>434</v>
      </c>
      <c r="D21" s="6" t="s">
        <v>435</v>
      </c>
      <c r="E21" s="4" t="s">
        <v>436</v>
      </c>
      <c r="F21" s="6" t="s">
        <v>371</v>
      </c>
      <c r="G21" s="6" t="s">
        <v>371</v>
      </c>
      <c r="H21" s="6" t="s">
        <v>371</v>
      </c>
    </row>
    <row r="22" spans="1:8">
      <c r="A22" s="6" t="s">
        <v>437</v>
      </c>
      <c r="B22" s="4" t="s">
        <v>438</v>
      </c>
      <c r="C22" s="4" t="s">
        <v>439</v>
      </c>
      <c r="D22" s="6" t="s">
        <v>435</v>
      </c>
      <c r="E22" s="4" t="s">
        <v>440</v>
      </c>
      <c r="F22" s="6" t="s">
        <v>377</v>
      </c>
      <c r="G22" s="6" t="s">
        <v>371</v>
      </c>
      <c r="H22" s="6" t="s">
        <v>377</v>
      </c>
    </row>
    <row r="23" spans="1:8">
      <c r="A23" s="6" t="s">
        <v>441</v>
      </c>
      <c r="B23" s="4" t="s">
        <v>442</v>
      </c>
      <c r="C23" s="4" t="s">
        <v>443</v>
      </c>
      <c r="D23" s="6" t="s">
        <v>444</v>
      </c>
      <c r="E23" s="4" t="s">
        <v>445</v>
      </c>
      <c r="F23" s="6" t="s">
        <v>377</v>
      </c>
      <c r="G23" s="6" t="s">
        <v>371</v>
      </c>
      <c r="H23" s="6" t="s">
        <v>371</v>
      </c>
    </row>
    <row r="24" spans="1:8">
      <c r="A24" s="6" t="s">
        <v>446</v>
      </c>
      <c r="B24" s="4" t="s">
        <v>447</v>
      </c>
      <c r="C24" s="4" t="s">
        <v>448</v>
      </c>
      <c r="D24" s="6" t="s">
        <v>444</v>
      </c>
      <c r="E24" s="4" t="s">
        <v>236</v>
      </c>
      <c r="F24" s="6" t="s">
        <v>377</v>
      </c>
      <c r="G24" s="6" t="s">
        <v>371</v>
      </c>
      <c r="H24" s="6" t="s">
        <v>371</v>
      </c>
    </row>
    <row r="25" spans="1:8">
      <c r="A25" s="6" t="s">
        <v>449</v>
      </c>
      <c r="B25" s="4" t="s">
        <v>450</v>
      </c>
      <c r="C25" s="4" t="s">
        <v>451</v>
      </c>
      <c r="D25" s="6" t="s">
        <v>444</v>
      </c>
      <c r="E25" s="4" t="s">
        <v>452</v>
      </c>
      <c r="F25" s="6" t="s">
        <v>377</v>
      </c>
      <c r="G25" s="6" t="s">
        <v>371</v>
      </c>
      <c r="H25" s="6" t="s">
        <v>371</v>
      </c>
    </row>
    <row r="26" spans="1:8">
      <c r="A26" s="6" t="s">
        <v>453</v>
      </c>
      <c r="B26" s="4" t="s">
        <v>454</v>
      </c>
      <c r="C26" s="4" t="s">
        <v>455</v>
      </c>
      <c r="D26" s="6" t="s">
        <v>444</v>
      </c>
      <c r="E26" s="4" t="s">
        <v>452</v>
      </c>
      <c r="F26" s="6" t="s">
        <v>371</v>
      </c>
      <c r="G26" s="6" t="s">
        <v>371</v>
      </c>
      <c r="H26" s="6" t="s">
        <v>371</v>
      </c>
    </row>
    <row r="27" spans="1:8">
      <c r="A27" s="6" t="s">
        <v>456</v>
      </c>
      <c r="B27" s="4" t="s">
        <v>457</v>
      </c>
      <c r="C27" s="4" t="s">
        <v>458</v>
      </c>
      <c r="D27" s="6" t="s">
        <v>444</v>
      </c>
      <c r="E27" s="4" t="s">
        <v>459</v>
      </c>
      <c r="F27" s="6" t="s">
        <v>377</v>
      </c>
      <c r="G27" s="6" t="s">
        <v>371</v>
      </c>
      <c r="H27" s="6" t="s">
        <v>371</v>
      </c>
    </row>
    <row r="28" spans="1:8">
      <c r="A28" s="6" t="s">
        <v>460</v>
      </c>
      <c r="B28" s="4" t="s">
        <v>461</v>
      </c>
      <c r="C28" s="4" t="s">
        <v>462</v>
      </c>
      <c r="D28" s="6" t="s">
        <v>444</v>
      </c>
      <c r="E28" s="4" t="s">
        <v>463</v>
      </c>
      <c r="F28" s="6" t="s">
        <v>377</v>
      </c>
      <c r="G28" s="6" t="s">
        <v>371</v>
      </c>
      <c r="H28" s="6" t="s">
        <v>371</v>
      </c>
    </row>
    <row r="29" spans="1:8">
      <c r="A29" s="6" t="s">
        <v>464</v>
      </c>
      <c r="B29" s="4" t="s">
        <v>465</v>
      </c>
      <c r="C29" s="4" t="s">
        <v>466</v>
      </c>
      <c r="D29" s="6" t="s">
        <v>405</v>
      </c>
      <c r="E29" s="4" t="s">
        <v>467</v>
      </c>
      <c r="F29" s="6" t="s">
        <v>377</v>
      </c>
      <c r="G29" s="6" t="s">
        <v>371</v>
      </c>
      <c r="H29" s="6" t="s">
        <v>371</v>
      </c>
    </row>
    <row r="30" spans="1:8">
      <c r="A30" s="6" t="s">
        <v>468</v>
      </c>
      <c r="B30" s="4" t="s">
        <v>469</v>
      </c>
      <c r="C30" s="4" t="s">
        <v>258</v>
      </c>
      <c r="D30" s="6" t="s">
        <v>470</v>
      </c>
      <c r="E30" s="4" t="s">
        <v>263</v>
      </c>
      <c r="F30" s="6" t="s">
        <v>377</v>
      </c>
      <c r="G30" s="6" t="s">
        <v>371</v>
      </c>
      <c r="H30" s="6" t="s">
        <v>377</v>
      </c>
    </row>
    <row r="31" spans="1:8">
      <c r="A31" s="6" t="s">
        <v>471</v>
      </c>
      <c r="B31" s="4" t="s">
        <v>472</v>
      </c>
      <c r="C31" s="4" t="s">
        <v>265</v>
      </c>
      <c r="D31" s="6" t="s">
        <v>470</v>
      </c>
      <c r="E31" s="4" t="s">
        <v>263</v>
      </c>
      <c r="F31" s="6" t="s">
        <v>377</v>
      </c>
      <c r="G31" s="6" t="s">
        <v>371</v>
      </c>
      <c r="H31" s="6" t="s">
        <v>371</v>
      </c>
    </row>
    <row r="32" spans="1:8">
      <c r="A32" s="6" t="s">
        <v>473</v>
      </c>
      <c r="B32" s="4" t="s">
        <v>474</v>
      </c>
      <c r="C32" s="4" t="s">
        <v>475</v>
      </c>
      <c r="D32" s="6" t="s">
        <v>470</v>
      </c>
      <c r="E32" s="4" t="s">
        <v>476</v>
      </c>
      <c r="F32" s="6" t="s">
        <v>377</v>
      </c>
      <c r="G32" s="6" t="s">
        <v>371</v>
      </c>
      <c r="H32" s="6" t="s">
        <v>371</v>
      </c>
    </row>
    <row r="33" spans="1:8">
      <c r="A33" s="6" t="s">
        <v>477</v>
      </c>
      <c r="B33" s="4" t="s">
        <v>478</v>
      </c>
      <c r="C33" s="4" t="s">
        <v>479</v>
      </c>
      <c r="D33" s="6" t="s">
        <v>470</v>
      </c>
      <c r="E33" s="4" t="s">
        <v>480</v>
      </c>
      <c r="F33" s="6" t="s">
        <v>377</v>
      </c>
      <c r="G33" s="6" t="s">
        <v>371</v>
      </c>
      <c r="H33" s="6" t="s">
        <v>371</v>
      </c>
    </row>
    <row r="34" spans="1:8">
      <c r="A34" s="6" t="s">
        <v>481</v>
      </c>
      <c r="B34" s="4" t="s">
        <v>482</v>
      </c>
      <c r="C34" s="4" t="s">
        <v>483</v>
      </c>
      <c r="D34" s="6" t="s">
        <v>470</v>
      </c>
      <c r="E34" s="4" t="s">
        <v>484</v>
      </c>
      <c r="F34" s="6" t="s">
        <v>371</v>
      </c>
      <c r="G34" s="6" t="s">
        <v>377</v>
      </c>
      <c r="H34" s="6" t="s">
        <v>371</v>
      </c>
    </row>
    <row r="35" spans="1:8">
      <c r="A35" s="6" t="s">
        <v>485</v>
      </c>
      <c r="B35" s="4" t="s">
        <v>486</v>
      </c>
      <c r="C35" s="4" t="s">
        <v>278</v>
      </c>
      <c r="D35" s="6" t="s">
        <v>470</v>
      </c>
      <c r="E35" s="4" t="s">
        <v>280</v>
      </c>
      <c r="F35" s="6" t="s">
        <v>377</v>
      </c>
      <c r="G35" s="6" t="s">
        <v>371</v>
      </c>
      <c r="H35" s="6" t="s">
        <v>371</v>
      </c>
    </row>
    <row r="36" spans="1:8">
      <c r="A36" s="6" t="s">
        <v>487</v>
      </c>
      <c r="B36" s="4" t="s">
        <v>488</v>
      </c>
      <c r="C36" s="4" t="s">
        <v>489</v>
      </c>
      <c r="D36" s="6" t="s">
        <v>470</v>
      </c>
      <c r="E36" s="4" t="s">
        <v>484</v>
      </c>
      <c r="F36" s="6" t="s">
        <v>377</v>
      </c>
      <c r="G36" s="6" t="s">
        <v>371</v>
      </c>
      <c r="H36" s="6" t="s">
        <v>371</v>
      </c>
    </row>
    <row r="37" spans="1:8">
      <c r="A37" s="6" t="s">
        <v>490</v>
      </c>
      <c r="B37" s="4" t="s">
        <v>491</v>
      </c>
      <c r="C37" s="4" t="s">
        <v>492</v>
      </c>
      <c r="D37" s="6" t="s">
        <v>242</v>
      </c>
      <c r="E37" s="4" t="s">
        <v>493</v>
      </c>
      <c r="F37" s="6" t="s">
        <v>377</v>
      </c>
      <c r="G37" s="6" t="s">
        <v>371</v>
      </c>
      <c r="H37" s="6" t="s">
        <v>377</v>
      </c>
    </row>
    <row r="38" spans="1:8">
      <c r="A38" s="6" t="s">
        <v>494</v>
      </c>
      <c r="B38" s="4" t="s">
        <v>495</v>
      </c>
      <c r="C38" s="4" t="s">
        <v>496</v>
      </c>
      <c r="D38" s="6" t="s">
        <v>242</v>
      </c>
      <c r="E38" s="4" t="s">
        <v>497</v>
      </c>
      <c r="F38" s="6" t="s">
        <v>371</v>
      </c>
      <c r="G38" s="6" t="s">
        <v>371</v>
      </c>
      <c r="H38" s="6" t="s">
        <v>371</v>
      </c>
    </row>
    <row r="39" spans="1:8">
      <c r="A39" s="6" t="s">
        <v>498</v>
      </c>
      <c r="B39" s="4" t="s">
        <v>499</v>
      </c>
      <c r="C39" s="4" t="s">
        <v>500</v>
      </c>
      <c r="D39" s="6" t="s">
        <v>242</v>
      </c>
      <c r="E39" s="4" t="s">
        <v>501</v>
      </c>
      <c r="F39" s="6" t="s">
        <v>371</v>
      </c>
      <c r="G39" s="6" t="s">
        <v>377</v>
      </c>
      <c r="H39" s="6" t="s">
        <v>377</v>
      </c>
    </row>
    <row r="40" spans="1:8">
      <c r="A40" s="6" t="s">
        <v>502</v>
      </c>
      <c r="B40" s="4" t="s">
        <v>503</v>
      </c>
      <c r="C40" s="4" t="s">
        <v>504</v>
      </c>
      <c r="D40" s="6" t="s">
        <v>242</v>
      </c>
      <c r="E40" s="4" t="s">
        <v>505</v>
      </c>
      <c r="F40" s="6" t="s">
        <v>371</v>
      </c>
      <c r="G40" s="6" t="s">
        <v>377</v>
      </c>
      <c r="H40" s="6" t="s">
        <v>371</v>
      </c>
    </row>
    <row r="41" spans="1:8">
      <c r="A41" s="6" t="s">
        <v>506</v>
      </c>
      <c r="B41" s="4" t="s">
        <v>507</v>
      </c>
      <c r="C41" s="4" t="s">
        <v>508</v>
      </c>
      <c r="D41" s="6" t="s">
        <v>435</v>
      </c>
      <c r="E41" s="4" t="s">
        <v>509</v>
      </c>
      <c r="F41" s="6" t="s">
        <v>371</v>
      </c>
      <c r="G41" s="6" t="s">
        <v>377</v>
      </c>
      <c r="H41" s="6" t="s">
        <v>371</v>
      </c>
    </row>
    <row r="42" spans="1:8">
      <c r="A42" s="6" t="s">
        <v>510</v>
      </c>
      <c r="B42" s="4" t="s">
        <v>511</v>
      </c>
      <c r="C42" s="4" t="s">
        <v>512</v>
      </c>
      <c r="D42" s="6" t="s">
        <v>513</v>
      </c>
      <c r="E42" s="4" t="s">
        <v>514</v>
      </c>
      <c r="F42" s="6" t="s">
        <v>371</v>
      </c>
      <c r="G42" s="6" t="s">
        <v>371</v>
      </c>
      <c r="H42" s="6" t="s">
        <v>371</v>
      </c>
    </row>
    <row r="43" spans="1:8">
      <c r="A43" s="6" t="s">
        <v>515</v>
      </c>
      <c r="B43" s="4" t="s">
        <v>516</v>
      </c>
      <c r="C43" s="4" t="s">
        <v>517</v>
      </c>
      <c r="D43" s="6" t="s">
        <v>513</v>
      </c>
      <c r="E43" s="4" t="s">
        <v>514</v>
      </c>
      <c r="F43" s="6" t="s">
        <v>377</v>
      </c>
      <c r="G43" s="6" t="s">
        <v>371</v>
      </c>
      <c r="H43" s="6" t="s">
        <v>371</v>
      </c>
    </row>
  </sheetData>
  <mergeCells count="2">
    <mergeCell ref="A1:H1"/>
    <mergeCell ref="A2:H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9.7109375" customWidth="1"/>
    <col min="3" max="3" width="7.7109375" customWidth="1"/>
    <col min="4" max="4" width="20.7109375" customWidth="1"/>
    <col min="5" max="5" width="12.7109375" customWidth="1"/>
    <col min="6" max="7" width="7.7109375" customWidth="1"/>
    <col min="8" max="8" width="15.7109375" customWidth="1"/>
    <col min="9" max="9" width="9.7109375" customWidth="1"/>
    <col min="10" max="10" width="8.7109375" customWidth="1"/>
    <col min="11" max="11" width="10.7109375" customWidth="1"/>
    <col min="12" max="13" width="11.7109375" customWidth="1"/>
    <col min="14" max="14" width="10.7109375" customWidth="1"/>
    <col min="15" max="15" width="42.7109375" customWidth="1"/>
    <col min="16" max="16" width="10.7109375" customWidth="1"/>
  </cols>
  <sheetData>
    <row r="1" spans="1:16">
      <c r="A1" s="7" t="s">
        <v>519</v>
      </c>
      <c r="B1" s="7" t="s">
        <v>520</v>
      </c>
      <c r="C1" s="7" t="s">
        <v>521</v>
      </c>
      <c r="D1" s="7" t="s">
        <v>358</v>
      </c>
      <c r="E1" s="7" t="s">
        <v>361</v>
      </c>
      <c r="F1" s="7" t="s">
        <v>522</v>
      </c>
      <c r="G1" s="7" t="s">
        <v>523</v>
      </c>
      <c r="H1" s="7" t="s">
        <v>524</v>
      </c>
      <c r="I1" s="7" t="s">
        <v>525</v>
      </c>
      <c r="J1" s="7" t="s">
        <v>526</v>
      </c>
      <c r="K1" s="7" t="s">
        <v>527</v>
      </c>
      <c r="L1" s="7" t="s">
        <v>528</v>
      </c>
      <c r="M1" s="7" t="s">
        <v>529</v>
      </c>
      <c r="N1" s="7" t="s">
        <v>530</v>
      </c>
      <c r="O1" s="7" t="s">
        <v>90</v>
      </c>
      <c r="P1" s="7" t="s">
        <v>531</v>
      </c>
    </row>
    <row r="2" spans="1:16">
      <c r="A2" s="20">
        <v>46181</v>
      </c>
      <c r="B2" s="6" t="s">
        <v>92</v>
      </c>
      <c r="C2" s="6">
        <v>1</v>
      </c>
      <c r="D2" s="6" t="s">
        <v>366</v>
      </c>
      <c r="E2" s="6">
        <f>IFERROR(INDEX('B6_Exercise_Library'!$D$4:$D$43,MATCH($D2,'B6_Exercise_Library'!$A$4:$A$43,0)),"")</f>
        <v>0</v>
      </c>
      <c r="F2" s="6" t="s">
        <v>532</v>
      </c>
      <c r="G2" s="6">
        <v>5</v>
      </c>
      <c r="H2" s="4" t="s">
        <v>47</v>
      </c>
      <c r="I2" s="6">
        <v>0</v>
      </c>
      <c r="J2" s="6">
        <v>8.5</v>
      </c>
      <c r="K2" s="6">
        <v>1</v>
      </c>
      <c r="N2" s="6">
        <v>5</v>
      </c>
      <c r="O2" s="4" t="s">
        <v>533</v>
      </c>
      <c r="P2" s="6">
        <f>IF($B2="","",$B2&amp;"_W"&amp;$C2)</f>
        <v>0</v>
      </c>
    </row>
    <row r="3" spans="1:16">
      <c r="A3" s="20">
        <v>46181</v>
      </c>
      <c r="B3" s="6" t="s">
        <v>121</v>
      </c>
      <c r="C3" s="6">
        <v>1</v>
      </c>
      <c r="D3" s="6" t="s">
        <v>372</v>
      </c>
      <c r="E3" s="6">
        <f>IFERROR(INDEX('B6_Exercise_Library'!$D$4:$D$43,MATCH($D3,'B6_Exercise_Library'!$A$4:$A$43,0)),"")</f>
        <v>0</v>
      </c>
      <c r="F3" s="6" t="s">
        <v>534</v>
      </c>
      <c r="G3" s="6">
        <v>3</v>
      </c>
      <c r="L3" s="6">
        <v>4</v>
      </c>
      <c r="O3" s="4" t="s">
        <v>535</v>
      </c>
      <c r="P3" s="6">
        <f>IF($B3="","",$B3&amp;"_W"&amp;$C3)</f>
        <v>0</v>
      </c>
    </row>
    <row r="4" spans="1:16">
      <c r="A4" s="20">
        <v>46181</v>
      </c>
      <c r="B4" s="6" t="s">
        <v>121</v>
      </c>
      <c r="C4" s="6">
        <v>1</v>
      </c>
      <c r="D4" s="6" t="s">
        <v>372</v>
      </c>
      <c r="E4" s="6">
        <f>IFERROR(INDEX('B6_Exercise_Library'!$D$4:$D$43,MATCH($D4,'B6_Exercise_Library'!$A$4:$A$43,0)),"")</f>
        <v>0</v>
      </c>
      <c r="F4" s="6" t="s">
        <v>536</v>
      </c>
      <c r="L4" s="6">
        <v>3</v>
      </c>
      <c r="O4" s="4" t="s">
        <v>537</v>
      </c>
      <c r="P4" s="6">
        <f>IF($B4="","",$B4&amp;"_W"&amp;$C4)</f>
        <v>0</v>
      </c>
    </row>
    <row r="5" spans="1:16">
      <c r="A5" s="20">
        <v>46181</v>
      </c>
      <c r="B5" s="6" t="s">
        <v>121</v>
      </c>
      <c r="C5" s="6">
        <v>1</v>
      </c>
      <c r="D5" s="6" t="s">
        <v>449</v>
      </c>
      <c r="E5" s="6">
        <f>IFERROR(INDEX('B6_Exercise_Library'!$D$4:$D$43,MATCH($D5,'B6_Exercise_Library'!$A$4:$A$43,0)),"")</f>
        <v>0</v>
      </c>
      <c r="F5" s="6" t="s">
        <v>532</v>
      </c>
      <c r="G5" s="6">
        <v>3</v>
      </c>
      <c r="H5" s="4" t="s">
        <v>538</v>
      </c>
      <c r="I5" s="6">
        <v>0</v>
      </c>
      <c r="P5" s="6">
        <f>IF($B5="","",$B5&amp;"_W"&amp;$C5)</f>
        <v>0</v>
      </c>
    </row>
    <row r="6" spans="1:16">
      <c r="A6" s="20">
        <v>46181</v>
      </c>
      <c r="B6" s="6" t="s">
        <v>121</v>
      </c>
      <c r="C6" s="6">
        <v>1</v>
      </c>
      <c r="D6" s="6" t="s">
        <v>413</v>
      </c>
      <c r="E6" s="6">
        <f>IFERROR(INDEX('B6_Exercise_Library'!$D$4:$D$43,MATCH($D6,'B6_Exercise_Library'!$A$4:$A$43,0)),"")</f>
        <v>0</v>
      </c>
      <c r="F6" s="6" t="s">
        <v>532</v>
      </c>
      <c r="G6" s="6">
        <v>2</v>
      </c>
      <c r="H6" s="4" t="s">
        <v>538</v>
      </c>
      <c r="I6" s="6">
        <v>65</v>
      </c>
      <c r="P6" s="6">
        <f>IF($B6="","",$B6&amp;"_W"&amp;$C6)</f>
        <v>0</v>
      </c>
    </row>
    <row r="7" spans="1:16">
      <c r="A7" s="20">
        <v>46181</v>
      </c>
      <c r="B7" s="6" t="s">
        <v>121</v>
      </c>
      <c r="C7" s="6">
        <v>1</v>
      </c>
      <c r="D7" s="6" t="s">
        <v>417</v>
      </c>
      <c r="E7" s="6">
        <f>IFERROR(INDEX('B6_Exercise_Library'!$D$4:$D$43,MATCH($D7,'B6_Exercise_Library'!$A$4:$A$43,0)),"")</f>
        <v>0</v>
      </c>
      <c r="F7" s="6" t="s">
        <v>532</v>
      </c>
      <c r="G7" s="6">
        <v>2</v>
      </c>
      <c r="H7" s="4" t="s">
        <v>538</v>
      </c>
      <c r="I7" s="6">
        <v>75</v>
      </c>
      <c r="O7" s="4" t="s">
        <v>539</v>
      </c>
      <c r="P7" s="6">
        <f>IF($B7="","",$B7&amp;"_W"&amp;$C7)</f>
        <v>0</v>
      </c>
    </row>
    <row r="8" spans="1:16">
      <c r="A8" s="20">
        <v>46181</v>
      </c>
      <c r="B8" s="6" t="s">
        <v>121</v>
      </c>
      <c r="C8" s="6">
        <v>1</v>
      </c>
      <c r="D8" s="6" t="s">
        <v>456</v>
      </c>
      <c r="E8" s="6">
        <f>IFERROR(INDEX('B6_Exercise_Library'!$D$4:$D$43,MATCH($D8,'B6_Exercise_Library'!$A$4:$A$43,0)),"")</f>
        <v>0</v>
      </c>
      <c r="F8" s="6" t="s">
        <v>532</v>
      </c>
      <c r="G8" s="6">
        <v>3</v>
      </c>
      <c r="H8" s="4" t="s">
        <v>540</v>
      </c>
      <c r="I8" s="6">
        <v>8</v>
      </c>
      <c r="O8" s="4" t="s">
        <v>541</v>
      </c>
      <c r="P8" s="6">
        <f>IF($B8="","",$B8&amp;"_W"&amp;$C8)</f>
        <v>0</v>
      </c>
    </row>
    <row r="9" spans="1:16">
      <c r="A9" s="20">
        <v>46181</v>
      </c>
      <c r="B9" s="6" t="s">
        <v>121</v>
      </c>
      <c r="C9" s="6">
        <v>1</v>
      </c>
      <c r="D9" s="6" t="s">
        <v>424</v>
      </c>
      <c r="E9" s="6">
        <f>IFERROR(INDEX('B6_Exercise_Library'!$D$4:$D$43,MATCH($D9,'B6_Exercise_Library'!$A$4:$A$43,0)),"")</f>
        <v>0</v>
      </c>
      <c r="F9" s="6" t="s">
        <v>532</v>
      </c>
      <c r="G9" s="6">
        <v>3</v>
      </c>
      <c r="H9" s="4" t="s">
        <v>540</v>
      </c>
      <c r="I9" s="6">
        <v>25</v>
      </c>
      <c r="O9" s="4" t="s">
        <v>542</v>
      </c>
      <c r="P9" s="6">
        <f>IF($B9="","",$B9&amp;"_W"&amp;$C9)</f>
        <v>0</v>
      </c>
    </row>
    <row r="10" spans="1:16">
      <c r="A10" s="20">
        <v>46181</v>
      </c>
      <c r="B10" s="6" t="s">
        <v>121</v>
      </c>
      <c r="C10" s="6">
        <v>1</v>
      </c>
      <c r="D10" s="6" t="s">
        <v>432</v>
      </c>
      <c r="E10" s="6">
        <f>IFERROR(INDEX('B6_Exercise_Library'!$D$4:$D$43,MATCH($D10,'B6_Exercise_Library'!$A$4:$A$43,0)),"")</f>
        <v>0</v>
      </c>
      <c r="F10" s="6" t="s">
        <v>532</v>
      </c>
      <c r="G10" s="6">
        <v>3</v>
      </c>
      <c r="H10" s="4" t="s">
        <v>540</v>
      </c>
      <c r="I10" s="6">
        <v>1</v>
      </c>
      <c r="O10" s="4" t="s">
        <v>543</v>
      </c>
      <c r="P10" s="6">
        <f>IF($B10="","",$B10&amp;"_W"&amp;$C10)</f>
        <v>0</v>
      </c>
    </row>
    <row r="11" spans="1:16">
      <c r="A11" s="20">
        <v>46181</v>
      </c>
      <c r="B11" s="6" t="s">
        <v>121</v>
      </c>
      <c r="C11" s="6">
        <v>1</v>
      </c>
      <c r="D11" s="6" t="s">
        <v>460</v>
      </c>
      <c r="E11" s="6">
        <f>IFERROR(INDEX('B6_Exercise_Library'!$D$4:$D$43,MATCH($D11,'B6_Exercise_Library'!$A$4:$A$43,0)),"")</f>
        <v>0</v>
      </c>
      <c r="F11" s="6" t="s">
        <v>532</v>
      </c>
      <c r="G11" s="6">
        <v>3</v>
      </c>
      <c r="H11" s="4" t="s">
        <v>540</v>
      </c>
      <c r="I11" s="6">
        <v>16.5</v>
      </c>
      <c r="O11" s="4" t="s">
        <v>544</v>
      </c>
      <c r="P11" s="6">
        <f>IF($B11="","",$B11&amp;"_W"&amp;$C11)</f>
        <v>0</v>
      </c>
    </row>
    <row r="12" spans="1:16">
      <c r="A12" s="20">
        <v>46181</v>
      </c>
      <c r="B12" s="6" t="s">
        <v>121</v>
      </c>
      <c r="C12" s="6">
        <v>1</v>
      </c>
      <c r="D12" s="6" t="s">
        <v>464</v>
      </c>
      <c r="E12" s="6">
        <f>IFERROR(INDEX('B6_Exercise_Library'!$D$4:$D$43,MATCH($D12,'B6_Exercise_Library'!$A$4:$A$43,0)),"")</f>
        <v>0</v>
      </c>
      <c r="F12" s="6" t="s">
        <v>532</v>
      </c>
      <c r="G12" s="6">
        <v>3</v>
      </c>
      <c r="H12" s="4" t="s">
        <v>538</v>
      </c>
      <c r="I12" s="6">
        <v>23.5</v>
      </c>
      <c r="O12" s="4" t="s">
        <v>544</v>
      </c>
      <c r="P12" s="6">
        <f>IF($B12="","",$B12&amp;"_W"&amp;$C12)</f>
        <v>0</v>
      </c>
    </row>
    <row r="13" spans="1:16">
      <c r="A13" s="20">
        <v>46183</v>
      </c>
      <c r="B13" s="6" t="s">
        <v>92</v>
      </c>
      <c r="C13" s="6">
        <v>1</v>
      </c>
      <c r="D13" s="6" t="s">
        <v>372</v>
      </c>
      <c r="E13" s="6">
        <f>IFERROR(INDEX('B6_Exercise_Library'!$D$4:$D$43,MATCH($D13,'B6_Exercise_Library'!$A$4:$A$43,0)),"")</f>
        <v>0</v>
      </c>
      <c r="F13" s="6" t="s">
        <v>534</v>
      </c>
      <c r="G13" s="6">
        <v>2</v>
      </c>
      <c r="I13" s="6">
        <v>0</v>
      </c>
      <c r="J13" s="6">
        <v>8</v>
      </c>
      <c r="K13" s="6">
        <v>1</v>
      </c>
      <c r="L13" s="6">
        <v>5</v>
      </c>
      <c r="O13" s="4" t="s">
        <v>545</v>
      </c>
      <c r="P13" s="6">
        <f>IF($B13="","",$B13&amp;"_W"&amp;$C13)</f>
        <v>0</v>
      </c>
    </row>
    <row r="14" spans="1:16">
      <c r="A14" s="20">
        <v>46183</v>
      </c>
      <c r="B14" s="6" t="s">
        <v>92</v>
      </c>
      <c r="C14" s="6">
        <v>1</v>
      </c>
      <c r="D14" s="6" t="s">
        <v>372</v>
      </c>
      <c r="E14" s="6">
        <f>IFERROR(INDEX('B6_Exercise_Library'!$D$4:$D$43,MATCH($D14,'B6_Exercise_Library'!$A$4:$A$43,0)),"")</f>
        <v>0</v>
      </c>
      <c r="F14" s="6" t="s">
        <v>536</v>
      </c>
      <c r="G14" s="6">
        <v>2</v>
      </c>
      <c r="I14" s="6">
        <v>0</v>
      </c>
      <c r="J14" s="6">
        <v>8</v>
      </c>
      <c r="K14" s="6">
        <v>1</v>
      </c>
      <c r="L14" s="6">
        <v>4</v>
      </c>
      <c r="O14" s="4" t="s">
        <v>546</v>
      </c>
      <c r="P14" s="6">
        <f>IF($B14="","",$B14&amp;"_W"&amp;$C14)</f>
        <v>0</v>
      </c>
    </row>
    <row r="15" spans="1:16">
      <c r="A15" s="20">
        <v>46183</v>
      </c>
      <c r="B15" s="6" t="s">
        <v>92</v>
      </c>
      <c r="C15" s="6">
        <v>1</v>
      </c>
      <c r="D15" s="6" t="s">
        <v>378</v>
      </c>
      <c r="E15" s="6">
        <f>IFERROR(INDEX('B6_Exercise_Library'!$D$4:$D$43,MATCH($D15,'B6_Exercise_Library'!$A$4:$A$43,0)),"")</f>
        <v>0</v>
      </c>
      <c r="F15" s="6" t="s">
        <v>532</v>
      </c>
      <c r="G15" s="6">
        <v>3</v>
      </c>
      <c r="I15" s="6">
        <v>0</v>
      </c>
      <c r="J15" s="6">
        <v>8</v>
      </c>
      <c r="K15" s="6">
        <v>1</v>
      </c>
      <c r="L15" s="6">
        <v>2</v>
      </c>
      <c r="O15" s="4" t="s">
        <v>547</v>
      </c>
      <c r="P15" s="6">
        <f>IF($B15="","",$B15&amp;"_W"&amp;$C15)</f>
        <v>0</v>
      </c>
    </row>
    <row r="16" spans="1:16">
      <c r="A16" s="20">
        <v>46183</v>
      </c>
      <c r="B16" s="6" t="s">
        <v>92</v>
      </c>
      <c r="C16" s="6">
        <v>1</v>
      </c>
      <c r="D16" s="6" t="s">
        <v>366</v>
      </c>
      <c r="E16" s="6">
        <f>IFERROR(INDEX('B6_Exercise_Library'!$D$4:$D$43,MATCH($D16,'B6_Exercise_Library'!$A$4:$A$43,0)),"")</f>
        <v>0</v>
      </c>
      <c r="F16" s="6" t="s">
        <v>532</v>
      </c>
      <c r="G16" s="6">
        <v>4</v>
      </c>
      <c r="H16" s="4" t="s">
        <v>47</v>
      </c>
      <c r="I16" s="6">
        <v>0</v>
      </c>
      <c r="J16" s="6">
        <v>9</v>
      </c>
      <c r="K16" s="6">
        <v>1</v>
      </c>
      <c r="L16" s="6">
        <v>3</v>
      </c>
      <c r="N16" s="6">
        <v>2</v>
      </c>
      <c r="O16" s="4" t="s">
        <v>548</v>
      </c>
      <c r="P16" s="6">
        <f>IF($B16="","",$B16&amp;"_W"&amp;$C16)</f>
        <v>0</v>
      </c>
    </row>
    <row r="17" spans="1:16">
      <c r="A17" s="20">
        <v>46183</v>
      </c>
      <c r="B17" s="6" t="s">
        <v>92</v>
      </c>
      <c r="C17" s="6">
        <v>1</v>
      </c>
      <c r="D17" s="6" t="s">
        <v>400</v>
      </c>
      <c r="E17" s="6">
        <f>IFERROR(INDEX('B6_Exercise_Library'!$D$4:$D$43,MATCH($D17,'B6_Exercise_Library'!$A$4:$A$43,0)),"")</f>
        <v>0</v>
      </c>
      <c r="F17" s="6" t="s">
        <v>532</v>
      </c>
      <c r="G17" s="6">
        <v>4</v>
      </c>
      <c r="I17" s="6">
        <v>0</v>
      </c>
      <c r="J17" s="6">
        <v>8</v>
      </c>
      <c r="K17" s="6">
        <v>1</v>
      </c>
      <c r="L17" s="6">
        <v>2</v>
      </c>
      <c r="M17" s="6">
        <v>8</v>
      </c>
      <c r="O17" s="4" t="s">
        <v>549</v>
      </c>
      <c r="P17" s="6">
        <f>IF($B17="","",$B17&amp;"_W"&amp;$C17)</f>
        <v>0</v>
      </c>
    </row>
    <row r="18" spans="1:16">
      <c r="A18" s="20">
        <v>46183</v>
      </c>
      <c r="B18" s="6" t="s">
        <v>92</v>
      </c>
      <c r="C18" s="6">
        <v>1</v>
      </c>
      <c r="D18" s="6" t="s">
        <v>403</v>
      </c>
      <c r="E18" s="6">
        <f>IFERROR(INDEX('B6_Exercise_Library'!$D$4:$D$43,MATCH($D18,'B6_Exercise_Library'!$A$4:$A$43,0)),"")</f>
        <v>0</v>
      </c>
      <c r="F18" s="6" t="s">
        <v>532</v>
      </c>
      <c r="G18" s="6">
        <v>4</v>
      </c>
      <c r="H18" s="4" t="s">
        <v>550</v>
      </c>
      <c r="I18" s="6">
        <v>40</v>
      </c>
      <c r="J18" s="6">
        <v>9</v>
      </c>
      <c r="K18" s="6">
        <v>1</v>
      </c>
      <c r="O18" s="4" t="s">
        <v>551</v>
      </c>
      <c r="P18" s="6">
        <f>IF($B18="","",$B18&amp;"_W"&amp;$C18)</f>
        <v>0</v>
      </c>
    </row>
  </sheetData>
  <conditionalFormatting sqref="J2:J1000">
    <cfRule type="cellIs" dxfId="3" priority="4" operator="greaterThan">
      <formula>8.5</formula>
    </cfRule>
  </conditionalFormatting>
  <conditionalFormatting sqref="K2:K1000">
    <cfRule type="cellIs" dxfId="1" priority="1" operator="greaterThanOrEqual">
      <formula>4</formula>
    </cfRule>
    <cfRule type="cellIs" dxfId="0" priority="2" operator="equal">
      <formula>3</formula>
    </cfRule>
    <cfRule type="cellIs" dxfId="2" priority="3" operator="between">
      <formula>0</formula>
      <formula>2</formula>
    </cfRule>
  </conditionalFormatting>
  <dataValidations count="7">
    <dataValidation type="list" allowBlank="1" showInputMessage="1" showErrorMessage="1" sqref="B2:B1000">
      <formula1>DayTypes</formula1>
    </dataValidation>
    <dataValidation type="whole" allowBlank="1" showInputMessage="1" showErrorMessage="1" sqref="C2:C1000">
      <formula1>1</formula1>
      <formula2>4</formula2>
    </dataValidation>
    <dataValidation type="list" allowBlank="1" showInputMessage="1" showErrorMessage="1" sqref="D2:D1000">
      <formula1>ExerciseIDs</formula1>
    </dataValidation>
    <dataValidation type="list" allowBlank="1" showInputMessage="1" showErrorMessage="1" sqref="F2:F1000">
      <formula1>"L,R,NA"</formula1>
    </dataValidation>
    <dataValidation type="decimal" allowBlank="1" showInputMessage="1" showErrorMessage="1" sqref="J2:J1000">
      <formula1>0</formula1>
      <formula2>10</formula2>
    </dataValidation>
    <dataValidation type="whole" allowBlank="1" showInputMessage="1" showErrorMessage="1" sqref="K2:K1000">
      <formula1>0</formula1>
      <formula2>10</formula2>
    </dataValidation>
    <dataValidation type="whole" allowBlank="1" showInputMessage="1" showErrorMessage="1" sqref="L2:L1000">
      <formula1>0</formula1>
      <formula2>5</formula2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cols>
    <col min="1" max="1" width="24.7109375" customWidth="1"/>
    <col min="2" max="4" width="12.7109375" customWidth="1"/>
    <col min="5" max="6" width="10.7109375" customWidth="1"/>
    <col min="7" max="7" width="46.7109375" customWidth="1"/>
  </cols>
  <sheetData>
    <row r="1" spans="1:7">
      <c r="A1" s="1" t="s">
        <v>552</v>
      </c>
      <c r="B1" s="1"/>
      <c r="C1" s="1"/>
      <c r="D1" s="1"/>
      <c r="E1" s="1"/>
      <c r="F1" s="1"/>
      <c r="G1" s="1"/>
    </row>
    <row r="3" spans="1:7">
      <c r="A3" s="5" t="s">
        <v>553</v>
      </c>
      <c r="B3" s="5"/>
      <c r="C3" s="5"/>
    </row>
    <row r="4" spans="1:7">
      <c r="A4" s="9" t="s">
        <v>554</v>
      </c>
      <c r="B4" s="11">
        <v>80.8</v>
      </c>
      <c r="C4" s="4" t="s">
        <v>562</v>
      </c>
      <c r="D4" s="4"/>
      <c r="E4" s="4"/>
      <c r="F4" s="4"/>
      <c r="G4" s="4"/>
    </row>
    <row r="5" spans="1:7">
      <c r="A5" s="9" t="s">
        <v>555</v>
      </c>
      <c r="B5" s="6" t="s">
        <v>556</v>
      </c>
    </row>
    <row r="6" spans="1:7">
      <c r="A6" s="9" t="s">
        <v>557</v>
      </c>
      <c r="B6" s="11">
        <v>2.2</v>
      </c>
      <c r="C6" s="4" t="s">
        <v>563</v>
      </c>
      <c r="D6" s="4"/>
      <c r="E6" s="4"/>
      <c r="F6" s="4"/>
      <c r="G6" s="4"/>
    </row>
    <row r="7" spans="1:7">
      <c r="A7" s="9" t="s">
        <v>558</v>
      </c>
      <c r="B7" s="11">
        <v>0.9</v>
      </c>
    </row>
    <row r="8" spans="1:7">
      <c r="A8" s="9" t="s">
        <v>559</v>
      </c>
      <c r="B8" s="10">
        <v>2700</v>
      </c>
    </row>
    <row r="9" spans="1:7">
      <c r="A9" s="9" t="s">
        <v>560</v>
      </c>
      <c r="B9" s="10">
        <f>ROUND(BW*B6,0)</f>
        <v>0</v>
      </c>
    </row>
    <row r="10" spans="1:7">
      <c r="A10" s="9" t="s">
        <v>561</v>
      </c>
      <c r="B10" s="10">
        <f>ROUND(BW*B7,0)</f>
        <v>0</v>
      </c>
    </row>
    <row r="12" spans="1:7">
      <c r="A12" s="5" t="s">
        <v>564</v>
      </c>
      <c r="B12" s="5"/>
      <c r="C12" s="5"/>
      <c r="D12" s="5"/>
      <c r="E12" s="5"/>
      <c r="F12" s="5"/>
      <c r="G12" s="5"/>
    </row>
    <row r="13" spans="1:7">
      <c r="A13" s="7" t="s">
        <v>83</v>
      </c>
      <c r="B13" s="7" t="s">
        <v>565</v>
      </c>
      <c r="C13" s="7" t="s">
        <v>566</v>
      </c>
      <c r="D13" s="7" t="s">
        <v>567</v>
      </c>
      <c r="E13" s="7" t="s">
        <v>568</v>
      </c>
      <c r="F13" s="7" t="s">
        <v>569</v>
      </c>
      <c r="G13" s="7" t="s">
        <v>570</v>
      </c>
    </row>
    <row r="14" spans="1:7">
      <c r="A14" s="9" t="s">
        <v>571</v>
      </c>
      <c r="B14" s="21">
        <v>250</v>
      </c>
      <c r="C14" s="10">
        <f>$B$8+B14</f>
        <v>0</v>
      </c>
      <c r="D14" s="10">
        <f>$B$9</f>
        <v>0</v>
      </c>
      <c r="E14" s="10">
        <f>$B$10</f>
        <v>0</v>
      </c>
      <c r="F14" s="10">
        <f>ROUND((C14-D14*4-E14*9)/4,0)</f>
        <v>0</v>
      </c>
      <c r="G14" s="4" t="s">
        <v>572</v>
      </c>
    </row>
    <row r="15" spans="1:7">
      <c r="A15" s="9" t="s">
        <v>100</v>
      </c>
      <c r="B15" s="21">
        <v>150</v>
      </c>
      <c r="C15" s="10">
        <f>$B$8+B15</f>
        <v>0</v>
      </c>
      <c r="D15" s="10">
        <f>$B$9</f>
        <v>0</v>
      </c>
      <c r="E15" s="10">
        <f>$B$10</f>
        <v>0</v>
      </c>
      <c r="F15" s="10">
        <f>ROUND((C15-D15*4-E15*9)/4,0)</f>
        <v>0</v>
      </c>
      <c r="G15" s="4" t="s">
        <v>573</v>
      </c>
    </row>
    <row r="16" spans="1:7">
      <c r="A16" s="9" t="s">
        <v>574</v>
      </c>
      <c r="B16" s="21">
        <v>200</v>
      </c>
      <c r="C16" s="10">
        <f>$B$8+B16</f>
        <v>0</v>
      </c>
      <c r="D16" s="10">
        <f>$B$9</f>
        <v>0</v>
      </c>
      <c r="E16" s="10">
        <f>$B$10</f>
        <v>0</v>
      </c>
      <c r="F16" s="10">
        <f>ROUND((C16-D16*4-E16*9)/4,0)</f>
        <v>0</v>
      </c>
      <c r="G16" s="4" t="s">
        <v>575</v>
      </c>
    </row>
    <row r="17" spans="1:7">
      <c r="A17" s="9" t="s">
        <v>576</v>
      </c>
      <c r="B17" s="21">
        <v>150</v>
      </c>
      <c r="C17" s="10">
        <f>$B$8+B17</f>
        <v>0</v>
      </c>
      <c r="D17" s="10">
        <f>$B$9</f>
        <v>0</v>
      </c>
      <c r="E17" s="10">
        <f>$B$10</f>
        <v>0</v>
      </c>
      <c r="F17" s="10">
        <f>ROUND((C17-D17*4-E17*9)/4,0)</f>
        <v>0</v>
      </c>
      <c r="G17" s="4" t="s">
        <v>577</v>
      </c>
    </row>
    <row r="18" spans="1:7">
      <c r="A18" s="9" t="s">
        <v>578</v>
      </c>
      <c r="B18" s="21">
        <v>100</v>
      </c>
      <c r="C18" s="10">
        <f>$B$8+B18</f>
        <v>0</v>
      </c>
      <c r="D18" s="10">
        <f>$B$9</f>
        <v>0</v>
      </c>
      <c r="E18" s="10">
        <f>$B$10</f>
        <v>0</v>
      </c>
      <c r="F18" s="10">
        <f>ROUND((C18-D18*4-E18*9)/4,0)</f>
        <v>0</v>
      </c>
      <c r="G18" s="4" t="s">
        <v>579</v>
      </c>
    </row>
    <row r="19" spans="1:7">
      <c r="A19" s="9" t="s">
        <v>153</v>
      </c>
      <c r="B19" s="21">
        <v>-150</v>
      </c>
      <c r="C19" s="10">
        <f>$B$8+B19</f>
        <v>0</v>
      </c>
      <c r="D19" s="10">
        <f>$B$9</f>
        <v>0</v>
      </c>
      <c r="E19" s="10">
        <f>$B$10</f>
        <v>0</v>
      </c>
      <c r="F19" s="10">
        <f>ROUND((C19-D19*4-E19*9)/4,0)</f>
        <v>0</v>
      </c>
      <c r="G19" s="4" t="s">
        <v>580</v>
      </c>
    </row>
    <row r="21" spans="1:7">
      <c r="A21" s="5" t="s">
        <v>581</v>
      </c>
      <c r="B21" s="5"/>
      <c r="C21" s="5"/>
      <c r="D21" s="5"/>
      <c r="E21" s="5"/>
      <c r="F21" s="5"/>
      <c r="G21" s="5"/>
    </row>
    <row r="22" spans="1:7">
      <c r="A22" s="4" t="s">
        <v>582</v>
      </c>
      <c r="B22" s="4"/>
      <c r="C22" s="4"/>
      <c r="D22" s="4"/>
      <c r="E22" s="4"/>
      <c r="F22" s="4"/>
      <c r="G22" s="4"/>
    </row>
    <row r="23" spans="1:7">
      <c r="A23" s="4" t="s">
        <v>583</v>
      </c>
      <c r="B23" s="4"/>
      <c r="C23" s="4"/>
      <c r="D23" s="4"/>
      <c r="E23" s="4"/>
      <c r="F23" s="4"/>
      <c r="G23" s="4"/>
    </row>
    <row r="24" spans="1:7">
      <c r="A24" s="4" t="s">
        <v>584</v>
      </c>
      <c r="B24" s="4"/>
      <c r="C24" s="4"/>
      <c r="D24" s="4"/>
      <c r="E24" s="4"/>
      <c r="F24" s="4"/>
      <c r="G24" s="4"/>
    </row>
    <row r="25" spans="1:7">
      <c r="A25" s="4" t="s">
        <v>585</v>
      </c>
      <c r="B25" s="4"/>
      <c r="C25" s="4"/>
      <c r="D25" s="4"/>
      <c r="E25" s="4"/>
      <c r="F25" s="4"/>
      <c r="G25" s="4"/>
    </row>
  </sheetData>
  <mergeCells count="10">
    <mergeCell ref="A1:G1"/>
    <mergeCell ref="A3:C3"/>
    <mergeCell ref="C4:G4"/>
    <mergeCell ref="C6:G6"/>
    <mergeCell ref="A12:G12"/>
    <mergeCell ref="A21:G21"/>
    <mergeCell ref="A22:G22"/>
    <mergeCell ref="A23:G23"/>
    <mergeCell ref="A24:G24"/>
    <mergeCell ref="A25:G25"/>
  </mergeCells>
  <conditionalFormatting sqref="B4">
    <cfRule type="cellIs" dxfId="1" priority="1" operator="notBetween">
      <formula>80.5</formula>
      <formula>81.0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FormatPr defaultRowHeight="15"/>
  <cols>
    <col min="1" max="1" width="26.7109375" customWidth="1"/>
    <col min="2" max="2" width="40.7109375" customWidth="1"/>
    <col min="3" max="3" width="34.7109375" customWidth="1"/>
    <col min="4" max="5" width="30.7109375" customWidth="1"/>
  </cols>
  <sheetData>
    <row r="1" spans="1:5">
      <c r="A1" s="1" t="s">
        <v>586</v>
      </c>
      <c r="B1" s="1"/>
      <c r="C1" s="1"/>
      <c r="D1" s="1"/>
      <c r="E1" s="1"/>
    </row>
    <row r="3" spans="1:5">
      <c r="A3" s="5" t="s">
        <v>587</v>
      </c>
      <c r="B3" s="5"/>
      <c r="C3" s="5"/>
      <c r="D3" s="5"/>
      <c r="E3" s="5"/>
    </row>
    <row r="4" spans="1:5">
      <c r="A4" s="7" t="s">
        <v>588</v>
      </c>
      <c r="B4" s="7" t="s">
        <v>589</v>
      </c>
      <c r="C4" s="7" t="s">
        <v>590</v>
      </c>
      <c r="D4" s="7" t="s">
        <v>591</v>
      </c>
      <c r="E4" s="7" t="s">
        <v>592</v>
      </c>
    </row>
    <row r="5" spans="1:5">
      <c r="A5" s="9" t="s">
        <v>593</v>
      </c>
      <c r="B5" s="22" t="s">
        <v>594</v>
      </c>
      <c r="C5" s="23" t="s">
        <v>595</v>
      </c>
      <c r="D5" s="24" t="s">
        <v>596</v>
      </c>
      <c r="E5" s="25" t="s">
        <v>597</v>
      </c>
    </row>
    <row r="6" spans="1:5">
      <c r="A6" s="9" t="s">
        <v>598</v>
      </c>
      <c r="B6" s="22" t="s">
        <v>599</v>
      </c>
      <c r="C6" s="23" t="s">
        <v>600</v>
      </c>
      <c r="D6" s="24" t="s">
        <v>601</v>
      </c>
      <c r="E6" s="25" t="s">
        <v>602</v>
      </c>
    </row>
    <row r="7" spans="1:5">
      <c r="A7" s="9" t="s">
        <v>603</v>
      </c>
      <c r="B7" s="22" t="s">
        <v>604</v>
      </c>
      <c r="C7" s="23" t="s">
        <v>605</v>
      </c>
      <c r="D7" s="24" t="s">
        <v>606</v>
      </c>
      <c r="E7" s="25" t="s">
        <v>607</v>
      </c>
    </row>
    <row r="8" spans="1:5">
      <c r="A8" s="9" t="s">
        <v>608</v>
      </c>
      <c r="B8" s="22" t="s">
        <v>609</v>
      </c>
      <c r="C8" s="23" t="s">
        <v>610</v>
      </c>
      <c r="D8" s="24" t="s">
        <v>611</v>
      </c>
      <c r="E8" s="25" t="s">
        <v>612</v>
      </c>
    </row>
    <row r="9" spans="1:5">
      <c r="A9" s="9" t="s">
        <v>613</v>
      </c>
      <c r="B9" s="22" t="s">
        <v>614</v>
      </c>
      <c r="C9" s="23" t="s">
        <v>615</v>
      </c>
      <c r="D9" s="24" t="s">
        <v>616</v>
      </c>
      <c r="E9" s="25" t="s">
        <v>617</v>
      </c>
    </row>
    <row r="11" spans="1:5">
      <c r="A11" s="5" t="s">
        <v>618</v>
      </c>
      <c r="B11" s="5"/>
      <c r="C11" s="5"/>
      <c r="D11" s="5"/>
      <c r="E11" s="5"/>
    </row>
    <row r="12" spans="1:5">
      <c r="A12" s="4" t="s">
        <v>619</v>
      </c>
      <c r="B12" s="4"/>
      <c r="C12" s="4"/>
      <c r="D12" s="4"/>
      <c r="E12" s="4"/>
    </row>
    <row r="13" spans="1:5">
      <c r="A13" s="4" t="s">
        <v>620</v>
      </c>
      <c r="B13" s="4"/>
      <c r="C13" s="4"/>
      <c r="D13" s="4"/>
      <c r="E13" s="4"/>
    </row>
    <row r="14" spans="1:5">
      <c r="A14" s="4" t="s">
        <v>621</v>
      </c>
      <c r="B14" s="4"/>
      <c r="C14" s="4"/>
      <c r="D14" s="4"/>
      <c r="E14" s="4"/>
    </row>
    <row r="15" spans="1:5">
      <c r="A15" s="4" t="s">
        <v>622</v>
      </c>
      <c r="B15" s="4"/>
      <c r="C15" s="4"/>
      <c r="D15" s="4"/>
      <c r="E15" s="4"/>
    </row>
    <row r="16" spans="1:5">
      <c r="A16" s="4" t="s">
        <v>623</v>
      </c>
      <c r="B16" s="4"/>
      <c r="C16" s="4"/>
      <c r="D16" s="4"/>
      <c r="E16" s="4"/>
    </row>
    <row r="17" spans="1:5">
      <c r="A17" s="4" t="s">
        <v>624</v>
      </c>
      <c r="B17" s="4"/>
      <c r="C17" s="4"/>
      <c r="D17" s="4"/>
      <c r="E17" s="4"/>
    </row>
    <row r="19" spans="1:5">
      <c r="A19" s="5" t="s">
        <v>625</v>
      </c>
      <c r="B19" s="5"/>
      <c r="C19" s="5"/>
      <c r="D19" s="5"/>
      <c r="E19" s="5"/>
    </row>
    <row r="20" spans="1:5">
      <c r="A20" s="7" t="s">
        <v>626</v>
      </c>
      <c r="B20" s="7" t="s">
        <v>627</v>
      </c>
      <c r="C20" s="7" t="s">
        <v>628</v>
      </c>
      <c r="D20" s="7" t="s">
        <v>629</v>
      </c>
      <c r="E20" s="7" t="s">
        <v>630</v>
      </c>
    </row>
    <row r="21" spans="1:5">
      <c r="A21" s="13" t="s">
        <v>65</v>
      </c>
      <c r="B21" s="4" t="s">
        <v>631</v>
      </c>
      <c r="C21" s="4" t="s">
        <v>632</v>
      </c>
      <c r="D21" s="4" t="s">
        <v>633</v>
      </c>
      <c r="E21" s="4" t="s">
        <v>634</v>
      </c>
    </row>
    <row r="22" spans="1:5">
      <c r="A22" s="13" t="s">
        <v>47</v>
      </c>
      <c r="B22" s="4" t="s">
        <v>635</v>
      </c>
      <c r="C22" s="4" t="s">
        <v>636</v>
      </c>
      <c r="D22" s="4" t="s">
        <v>637</v>
      </c>
      <c r="E22" s="4" t="s">
        <v>638</v>
      </c>
    </row>
    <row r="23" spans="1:5">
      <c r="A23" s="13" t="s">
        <v>33</v>
      </c>
      <c r="B23" s="4" t="s">
        <v>639</v>
      </c>
      <c r="C23" s="4" t="s">
        <v>640</v>
      </c>
      <c r="D23" s="4" t="s">
        <v>641</v>
      </c>
      <c r="E23" s="4" t="s">
        <v>642</v>
      </c>
    </row>
    <row r="24" spans="1:5">
      <c r="A24" s="13" t="s">
        <v>32</v>
      </c>
      <c r="B24" s="4" t="s">
        <v>643</v>
      </c>
      <c r="C24" s="4" t="s">
        <v>644</v>
      </c>
      <c r="D24" s="4" t="s">
        <v>645</v>
      </c>
      <c r="E24" s="4" t="s">
        <v>646</v>
      </c>
    </row>
    <row r="25" spans="1:5">
      <c r="A25" s="26" t="s">
        <v>647</v>
      </c>
      <c r="B25" s="26"/>
      <c r="C25" s="26"/>
      <c r="D25" s="26"/>
      <c r="E25" s="26"/>
    </row>
    <row r="27" spans="1:5">
      <c r="A27" s="5" t="s">
        <v>648</v>
      </c>
      <c r="B27" s="5"/>
      <c r="C27" s="5"/>
      <c r="D27" s="5"/>
      <c r="E27" s="5"/>
    </row>
    <row r="28" spans="1:5">
      <c r="A28" s="4" t="s">
        <v>649</v>
      </c>
      <c r="B28" s="4"/>
      <c r="C28" s="4"/>
      <c r="D28" s="4"/>
      <c r="E28" s="4"/>
    </row>
    <row r="29" spans="1:5">
      <c r="A29" s="4" t="s">
        <v>650</v>
      </c>
      <c r="B29" s="4"/>
      <c r="C29" s="4"/>
      <c r="D29" s="4"/>
      <c r="E29" s="4"/>
    </row>
    <row r="30" spans="1:5">
      <c r="A30" s="4" t="s">
        <v>651</v>
      </c>
      <c r="B30" s="4"/>
      <c r="C30" s="4"/>
      <c r="D30" s="4"/>
      <c r="E30" s="4"/>
    </row>
    <row r="31" spans="1:5">
      <c r="A31" s="4" t="s">
        <v>652</v>
      </c>
      <c r="B31" s="4"/>
      <c r="C31" s="4"/>
      <c r="D31" s="4"/>
      <c r="E31" s="4"/>
    </row>
    <row r="32" spans="1:5">
      <c r="A32" s="4" t="s">
        <v>653</v>
      </c>
      <c r="B32" s="4"/>
      <c r="C32" s="4"/>
      <c r="D32" s="4"/>
      <c r="E32" s="4"/>
    </row>
    <row r="34" spans="1:5">
      <c r="A34" s="5" t="s">
        <v>654</v>
      </c>
      <c r="B34" s="5"/>
      <c r="C34" s="5"/>
      <c r="D34" s="5"/>
      <c r="E34" s="5"/>
    </row>
    <row r="35" spans="1:5">
      <c r="A35" s="7" t="s">
        <v>655</v>
      </c>
      <c r="B35" s="7" t="s">
        <v>656</v>
      </c>
      <c r="C35" s="7" t="s">
        <v>657</v>
      </c>
      <c r="D35" s="7"/>
      <c r="E35" s="7"/>
    </row>
    <row r="36" spans="1:5">
      <c r="A36" s="4" t="s">
        <v>658</v>
      </c>
      <c r="B36" s="27" t="s">
        <v>659</v>
      </c>
      <c r="C36" s="4" t="s">
        <v>660</v>
      </c>
      <c r="D36" s="4"/>
      <c r="E36" s="4"/>
    </row>
    <row r="37" spans="1:5">
      <c r="A37" s="4" t="s">
        <v>661</v>
      </c>
      <c r="B37" s="27" t="s">
        <v>662</v>
      </c>
      <c r="C37" s="4" t="s">
        <v>663</v>
      </c>
      <c r="D37" s="4"/>
      <c r="E37" s="4"/>
    </row>
    <row r="38" spans="1:5">
      <c r="A38" s="4" t="s">
        <v>664</v>
      </c>
      <c r="B38" s="27" t="s">
        <v>665</v>
      </c>
      <c r="C38" s="4" t="s">
        <v>666</v>
      </c>
      <c r="D38" s="4"/>
      <c r="E38" s="4"/>
    </row>
    <row r="39" spans="1:5">
      <c r="A39" s="4" t="s">
        <v>667</v>
      </c>
      <c r="B39" s="27" t="s">
        <v>668</v>
      </c>
      <c r="C39" s="4" t="s">
        <v>669</v>
      </c>
      <c r="D39" s="4"/>
      <c r="E39" s="4"/>
    </row>
    <row r="40" spans="1:5">
      <c r="A40" s="4" t="s">
        <v>667</v>
      </c>
      <c r="B40" s="27" t="s">
        <v>670</v>
      </c>
      <c r="C40" s="4" t="s">
        <v>671</v>
      </c>
      <c r="D40" s="4"/>
      <c r="E40" s="4"/>
    </row>
    <row r="41" spans="1:5">
      <c r="A41" s="4" t="s">
        <v>672</v>
      </c>
      <c r="B41" s="27" t="s">
        <v>673</v>
      </c>
      <c r="C41" s="4" t="s">
        <v>674</v>
      </c>
      <c r="D41" s="4"/>
      <c r="E41" s="4"/>
    </row>
    <row r="42" spans="1:5">
      <c r="A42" s="4" t="s">
        <v>675</v>
      </c>
      <c r="B42" s="27" t="s">
        <v>676</v>
      </c>
      <c r="C42" s="4" t="s">
        <v>677</v>
      </c>
      <c r="D42" s="4"/>
      <c r="E42" s="4"/>
    </row>
  </sheetData>
  <mergeCells count="25">
    <mergeCell ref="A1:E1"/>
    <mergeCell ref="A3:E3"/>
    <mergeCell ref="A11:E11"/>
    <mergeCell ref="A12:E12"/>
    <mergeCell ref="A13:E13"/>
    <mergeCell ref="A14:E14"/>
    <mergeCell ref="A15:E15"/>
    <mergeCell ref="A16:E16"/>
    <mergeCell ref="A17:E17"/>
    <mergeCell ref="A19:E19"/>
    <mergeCell ref="A25:E25"/>
    <mergeCell ref="A27:E27"/>
    <mergeCell ref="A28:E28"/>
    <mergeCell ref="A29:E29"/>
    <mergeCell ref="A30:E30"/>
    <mergeCell ref="A31:E31"/>
    <mergeCell ref="A32:E32"/>
    <mergeCell ref="A34:E34"/>
    <mergeCell ref="C36:E36"/>
    <mergeCell ref="C37:E37"/>
    <mergeCell ref="C38:E38"/>
    <mergeCell ref="C39:E39"/>
    <mergeCell ref="C40:E40"/>
    <mergeCell ref="C41:E41"/>
    <mergeCell ref="C42:E42"/>
  </mergeCells>
  <hyperlinks>
    <hyperlink ref="B36" r:id="rId1"/>
    <hyperlink ref="B37" r:id="rId2"/>
    <hyperlink ref="B38" r:id="rId3"/>
    <hyperlink ref="B39" r:id="rId4"/>
    <hyperlink ref="B40" r:id="rId5"/>
    <hyperlink ref="B41" r:id="rId6"/>
    <hyperlink ref="B42" r:id="rId7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9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40.7109375" customWidth="1"/>
    <col min="2" max="5" width="10.7109375" customWidth="1"/>
    <col min="6" max="6" width="14.7109375" customWidth="1"/>
  </cols>
  <sheetData>
    <row r="1" spans="1:6">
      <c r="A1" s="1" t="s">
        <v>678</v>
      </c>
      <c r="B1" s="1"/>
      <c r="C1" s="1"/>
      <c r="D1" s="1"/>
      <c r="E1" s="1"/>
      <c r="F1" s="1"/>
    </row>
    <row r="2" spans="1:6">
      <c r="A2" s="12" t="s">
        <v>679</v>
      </c>
      <c r="B2" s="12"/>
      <c r="C2" s="12"/>
      <c r="D2" s="12"/>
      <c r="E2" s="12"/>
      <c r="F2" s="12"/>
    </row>
    <row r="3" spans="1:6">
      <c r="A3" s="7" t="s">
        <v>50</v>
      </c>
      <c r="B3" s="7" t="s">
        <v>148</v>
      </c>
      <c r="C3" s="7" t="s">
        <v>149</v>
      </c>
      <c r="D3" s="7" t="s">
        <v>150</v>
      </c>
      <c r="E3" s="7" t="s">
        <v>151</v>
      </c>
      <c r="F3" s="7" t="s">
        <v>680</v>
      </c>
    </row>
    <row r="4" spans="1:6">
      <c r="A4" s="9" t="s">
        <v>681</v>
      </c>
      <c r="B4" s="11">
        <f>SUMIFS('B6_Training_Log'!$G$2:$G$1000,'B6_Training_Log'!$E$2:$E$1000,"Skill90",'B6_Training_Log'!$C$2:$C$1000,1)+SUMIFS('B6_Training_Log'!$G$2:$G$1000,'B6_Training_Log'!$E$2:$E$1000,"Planche",'B6_Training_Log'!$C$2:$C$1000,1)+SUMIFS('B6_Training_Log'!$G$2:$G$1000,'B6_Training_Log'!$E$2:$E$1000,"Push",'B6_Training_Log'!$C$2:$C$1000,1)</f>
        <v>0</v>
      </c>
      <c r="C4" s="11">
        <f>SUMIFS('B6_Training_Log'!$G$2:$G$1000,'B6_Training_Log'!$E$2:$E$1000,"Skill90",'B6_Training_Log'!$C$2:$C$1000,2)+SUMIFS('B6_Training_Log'!$G$2:$G$1000,'B6_Training_Log'!$E$2:$E$1000,"Planche",'B6_Training_Log'!$C$2:$C$1000,2)+SUMIFS('B6_Training_Log'!$G$2:$G$1000,'B6_Training_Log'!$E$2:$E$1000,"Push",'B6_Training_Log'!$C$2:$C$1000,2)</f>
        <v>0</v>
      </c>
      <c r="D4" s="11">
        <f>SUMIFS('B6_Training_Log'!$G$2:$G$1000,'B6_Training_Log'!$E$2:$E$1000,"Skill90",'B6_Training_Log'!$C$2:$C$1000,3)+SUMIFS('B6_Training_Log'!$G$2:$G$1000,'B6_Training_Log'!$E$2:$E$1000,"Planche",'B6_Training_Log'!$C$2:$C$1000,3)+SUMIFS('B6_Training_Log'!$G$2:$G$1000,'B6_Training_Log'!$E$2:$E$1000,"Push",'B6_Training_Log'!$C$2:$C$1000,3)</f>
        <v>0</v>
      </c>
      <c r="E4" s="11">
        <f>SUMIFS('B6_Training_Log'!$G$2:$G$1000,'B6_Training_Log'!$E$2:$E$1000,"Skill90",'B6_Training_Log'!$C$2:$C$1000,4)+SUMIFS('B6_Training_Log'!$G$2:$G$1000,'B6_Training_Log'!$E$2:$E$1000,"Planche",'B6_Training_Log'!$C$2:$C$1000,4)+SUMIFS('B6_Training_Log'!$G$2:$G$1000,'B6_Training_Log'!$E$2:$E$1000,"Push",'B6_Training_Log'!$C$2:$C$1000,4)</f>
        <v>0</v>
      </c>
      <c r="F4" s="28">
        <f>SUMIFS('B6_Training_Log'!$G$2:$G$1000,'B6_Training_Log'!$E$2:$E$1000,"Skill90")+SUMIFS('B6_Training_Log'!$G$2:$G$1000,'B6_Training_Log'!$E$2:$E$1000,"Planche")+SUMIFS('B6_Training_Log'!$G$2:$G$1000,'B6_Training_Log'!$E$2:$E$1000,"Push")</f>
        <v>0</v>
      </c>
    </row>
    <row r="5" spans="1:6">
      <c r="A5" s="9" t="s">
        <v>682</v>
      </c>
      <c r="B5" s="11">
        <f>SUMIFS('B6_Training_Log'!$G$2:$G$1000,'B6_Training_Log'!$E$2:$E$1000,"Pull",'B6_Training_Log'!$C$2:$C$1000,1)</f>
        <v>0</v>
      </c>
      <c r="C5" s="11">
        <f>SUMIFS('B6_Training_Log'!$G$2:$G$1000,'B6_Training_Log'!$E$2:$E$1000,"Pull",'B6_Training_Log'!$C$2:$C$1000,2)</f>
        <v>0</v>
      </c>
      <c r="D5" s="11">
        <f>SUMIFS('B6_Training_Log'!$G$2:$G$1000,'B6_Training_Log'!$E$2:$E$1000,"Pull",'B6_Training_Log'!$C$2:$C$1000,3)</f>
        <v>0</v>
      </c>
      <c r="E5" s="11">
        <f>SUMIFS('B6_Training_Log'!$G$2:$G$1000,'B6_Training_Log'!$E$2:$E$1000,"Pull",'B6_Training_Log'!$C$2:$C$1000,4)</f>
        <v>0</v>
      </c>
      <c r="F5" s="28">
        <f>SUMIFS('B6_Training_Log'!$G$2:$G$1000,'B6_Training_Log'!$E$2:$E$1000,"Pull")</f>
        <v>0</v>
      </c>
    </row>
    <row r="6" spans="1:6">
      <c r="A6" s="9" t="s">
        <v>683</v>
      </c>
      <c r="B6" s="11">
        <f>SUMIFS('B6_Training_Log'!$G$2:$G$1000,'B6_Training_Log'!$E$2:$E$1000,"Legs",'B6_Training_Log'!$C$2:$C$1000,1)</f>
        <v>0</v>
      </c>
      <c r="C6" s="11">
        <f>SUMIFS('B6_Training_Log'!$G$2:$G$1000,'B6_Training_Log'!$E$2:$E$1000,"Legs",'B6_Training_Log'!$C$2:$C$1000,2)</f>
        <v>0</v>
      </c>
      <c r="D6" s="11">
        <f>SUMIFS('B6_Training_Log'!$G$2:$G$1000,'B6_Training_Log'!$E$2:$E$1000,"Legs",'B6_Training_Log'!$C$2:$C$1000,3)</f>
        <v>0</v>
      </c>
      <c r="E6" s="11">
        <f>SUMIFS('B6_Training_Log'!$G$2:$G$1000,'B6_Training_Log'!$E$2:$E$1000,"Legs",'B6_Training_Log'!$C$2:$C$1000,4)</f>
        <v>0</v>
      </c>
      <c r="F6" s="28">
        <f>SUMIFS('B6_Training_Log'!$G$2:$G$1000,'B6_Training_Log'!$E$2:$E$1000,"Legs")</f>
        <v>0</v>
      </c>
    </row>
    <row r="7" spans="1:6">
      <c r="A7" s="9" t="s">
        <v>684</v>
      </c>
      <c r="B7" s="10">
        <f>COUNTIFS('B6_Training_Log'!$D$2:$D$1000,"90",'B6_Training_Log'!$C$2:$C$1000,1)</f>
        <v>0</v>
      </c>
      <c r="C7" s="10">
        <f>COUNTIFS('B6_Training_Log'!$D$2:$D$1000,"90",'B6_Training_Log'!$C$2:$C$1000,2)</f>
        <v>0</v>
      </c>
      <c r="D7" s="10">
        <f>COUNTIFS('B6_Training_Log'!$D$2:$D$1000,"90",'B6_Training_Log'!$C$2:$C$1000,3)</f>
        <v>0</v>
      </c>
      <c r="E7" s="10">
        <f>COUNTIFS('B6_Training_Log'!$D$2:$D$1000,"90",'B6_Training_Log'!$C$2:$C$1000,4)</f>
        <v>0</v>
      </c>
      <c r="F7" s="29">
        <f>COUNTIF('B6_Training_Log'!$D$2:$D$1000,"90")</f>
        <v>0</v>
      </c>
    </row>
    <row r="8" spans="1:6">
      <c r="A8" s="9" t="s">
        <v>685</v>
      </c>
      <c r="B8" s="10">
        <f>SUMIFS('B6_Training_Log'!$N$2:$N$1000,'B6_Training_Log'!$D$2:$D$1000,"90",'B6_Training_Log'!$C$2:$C$1000,1)</f>
        <v>0</v>
      </c>
      <c r="C8" s="10">
        <f>SUMIFS('B6_Training_Log'!$N$2:$N$1000,'B6_Training_Log'!$D$2:$D$1000,"90",'B6_Training_Log'!$C$2:$C$1000,2)</f>
        <v>0</v>
      </c>
      <c r="D8" s="10">
        <f>SUMIFS('B6_Training_Log'!$N$2:$N$1000,'B6_Training_Log'!$D$2:$D$1000,"90",'B6_Training_Log'!$C$2:$C$1000,3)</f>
        <v>0</v>
      </c>
      <c r="E8" s="10">
        <f>SUMIFS('B6_Training_Log'!$N$2:$N$1000,'B6_Training_Log'!$D$2:$D$1000,"90",'B6_Training_Log'!$C$2:$C$1000,4)</f>
        <v>0</v>
      </c>
      <c r="F8" s="29">
        <f>SUMIFS('B6_Training_Log'!$N$2:$N$1000,'B6_Training_Log'!$D$2:$D$1000,"90")</f>
        <v>0</v>
      </c>
    </row>
    <row r="9" spans="1:6">
      <c r="A9" s="9" t="s">
        <v>686</v>
      </c>
      <c r="B9" s="10">
        <f>COUNTIFS('B6_Training_Log'!$E$2:$E$1000,"SkillOAHS",'B6_Training_Log'!$C$2:$C$1000,1)</f>
        <v>0</v>
      </c>
      <c r="C9" s="10">
        <f>COUNTIFS('B6_Training_Log'!$E$2:$E$1000,"SkillOAHS",'B6_Training_Log'!$C$2:$C$1000,2)</f>
        <v>0</v>
      </c>
      <c r="D9" s="10">
        <f>COUNTIFS('B6_Training_Log'!$E$2:$E$1000,"SkillOAHS",'B6_Training_Log'!$C$2:$C$1000,3)</f>
        <v>0</v>
      </c>
      <c r="E9" s="10">
        <f>COUNTIFS('B6_Training_Log'!$E$2:$E$1000,"SkillOAHS",'B6_Training_Log'!$C$2:$C$1000,4)</f>
        <v>0</v>
      </c>
      <c r="F9" s="29">
        <f>COUNTIF('B6_Training_Log'!$E$2:$E$1000,"SkillOAHS")</f>
        <v>0</v>
      </c>
    </row>
    <row r="10" spans="1:6">
      <c r="A10" s="9" t="s">
        <v>687</v>
      </c>
      <c r="B10" s="10">
        <f>COUNTIFS('B6_Training_Log'!$E$2:$E$1000,"Planche",'B6_Training_Log'!$C$2:$C$1000,1)</f>
        <v>0</v>
      </c>
      <c r="C10" s="10">
        <f>COUNTIFS('B6_Training_Log'!$E$2:$E$1000,"Planche",'B6_Training_Log'!$C$2:$C$1000,2)</f>
        <v>0</v>
      </c>
      <c r="D10" s="10">
        <f>COUNTIFS('B6_Training_Log'!$E$2:$E$1000,"Planche",'B6_Training_Log'!$C$2:$C$1000,3)</f>
        <v>0</v>
      </c>
      <c r="E10" s="10">
        <f>COUNTIFS('B6_Training_Log'!$E$2:$E$1000,"Planche",'B6_Training_Log'!$C$2:$C$1000,4)</f>
        <v>0</v>
      </c>
      <c r="F10" s="29">
        <f>COUNTIF('B6_Training_Log'!$E$2:$E$1000,"Planche")</f>
        <v>0</v>
      </c>
    </row>
    <row r="11" spans="1:6">
      <c r="A11" s="9" t="s">
        <v>70</v>
      </c>
      <c r="B11" s="10">
        <f>MAXIFS('B6_Training_Log'!$M$2:$M$1000,'B6_Training_Log'!$E$2:$E$1000,"SkillOAHS",'B6_Training_Log'!$F$2:$F$1000,"L",'B6_Training_Log'!$C$2:$C$1000,1)</f>
        <v>0</v>
      </c>
      <c r="C11" s="10">
        <f>MAXIFS('B6_Training_Log'!$M$2:$M$1000,'B6_Training_Log'!$E$2:$E$1000,"SkillOAHS",'B6_Training_Log'!$F$2:$F$1000,"L",'B6_Training_Log'!$C$2:$C$1000,2)</f>
        <v>0</v>
      </c>
      <c r="D11" s="10">
        <f>MAXIFS('B6_Training_Log'!$M$2:$M$1000,'B6_Training_Log'!$E$2:$E$1000,"SkillOAHS",'B6_Training_Log'!$F$2:$F$1000,"L",'B6_Training_Log'!$C$2:$C$1000,3)</f>
        <v>0</v>
      </c>
      <c r="E11" s="10">
        <f>MAXIFS('B6_Training_Log'!$M$2:$M$1000,'B6_Training_Log'!$E$2:$E$1000,"SkillOAHS",'B6_Training_Log'!$F$2:$F$1000,"L",'B6_Training_Log'!$C$2:$C$1000,4)</f>
        <v>0</v>
      </c>
      <c r="F11" s="29">
        <f>MAXIFS('B6_Training_Log'!$M$2:$M$1000,'B6_Training_Log'!$E$2:$E$1000,"SkillOAHS",'B6_Training_Log'!$F$2:$F$1000,"L")</f>
        <v>0</v>
      </c>
    </row>
    <row r="12" spans="1:6">
      <c r="A12" s="9" t="s">
        <v>72</v>
      </c>
      <c r="B12" s="10">
        <f>MAXIFS('B6_Training_Log'!$M$2:$M$1000,'B6_Training_Log'!$E$2:$E$1000,"SkillOAHS",'B6_Training_Log'!$F$2:$F$1000,"R",'B6_Training_Log'!$C$2:$C$1000,1)</f>
        <v>0</v>
      </c>
      <c r="C12" s="10">
        <f>MAXIFS('B6_Training_Log'!$M$2:$M$1000,'B6_Training_Log'!$E$2:$E$1000,"SkillOAHS",'B6_Training_Log'!$F$2:$F$1000,"R",'B6_Training_Log'!$C$2:$C$1000,2)</f>
        <v>0</v>
      </c>
      <c r="D12" s="10">
        <f>MAXIFS('B6_Training_Log'!$M$2:$M$1000,'B6_Training_Log'!$E$2:$E$1000,"SkillOAHS",'B6_Training_Log'!$F$2:$F$1000,"R",'B6_Training_Log'!$C$2:$C$1000,3)</f>
        <v>0</v>
      </c>
      <c r="E12" s="10">
        <f>MAXIFS('B6_Training_Log'!$M$2:$M$1000,'B6_Training_Log'!$E$2:$E$1000,"SkillOAHS",'B6_Training_Log'!$F$2:$F$1000,"R",'B6_Training_Log'!$C$2:$C$1000,4)</f>
        <v>0</v>
      </c>
      <c r="F12" s="29">
        <f>MAXIFS('B6_Training_Log'!$M$2:$M$1000,'B6_Training_Log'!$E$2:$E$1000,"SkillOAHS",'B6_Training_Log'!$F$2:$F$1000,"R")</f>
        <v>0</v>
      </c>
    </row>
    <row r="13" spans="1:6">
      <c r="A13" s="9" t="s">
        <v>75</v>
      </c>
      <c r="B13" s="10">
        <f>MAXIFS('B6_Training_Log'!$M$2:$M$1000,'B6_Training_Log'!$E$2:$E$1000,"SkillFlag",'B6_Training_Log'!$F$2:$F$1000,"L",'B6_Training_Log'!$C$2:$C$1000,1)</f>
        <v>0</v>
      </c>
      <c r="C13" s="10">
        <f>MAXIFS('B6_Training_Log'!$M$2:$M$1000,'B6_Training_Log'!$E$2:$E$1000,"SkillFlag",'B6_Training_Log'!$F$2:$F$1000,"L",'B6_Training_Log'!$C$2:$C$1000,2)</f>
        <v>0</v>
      </c>
      <c r="D13" s="10">
        <f>MAXIFS('B6_Training_Log'!$M$2:$M$1000,'B6_Training_Log'!$E$2:$E$1000,"SkillFlag",'B6_Training_Log'!$F$2:$F$1000,"L",'B6_Training_Log'!$C$2:$C$1000,3)</f>
        <v>0</v>
      </c>
      <c r="E13" s="10">
        <f>MAXIFS('B6_Training_Log'!$M$2:$M$1000,'B6_Training_Log'!$E$2:$E$1000,"SkillFlag",'B6_Training_Log'!$F$2:$F$1000,"L",'B6_Training_Log'!$C$2:$C$1000,4)</f>
        <v>0</v>
      </c>
      <c r="F13" s="29">
        <f>MAXIFS('B6_Training_Log'!$M$2:$M$1000,'B6_Training_Log'!$E$2:$E$1000,"SkillFlag",'B6_Training_Log'!$F$2:$F$1000,"L")</f>
        <v>0</v>
      </c>
    </row>
    <row r="14" spans="1:6">
      <c r="A14" s="9" t="s">
        <v>77</v>
      </c>
      <c r="B14" s="10">
        <f>MAXIFS('B6_Training_Log'!$M$2:$M$1000,'B6_Training_Log'!$E$2:$E$1000,"SkillFlag",'B6_Training_Log'!$F$2:$F$1000,"R",'B6_Training_Log'!$C$2:$C$1000,1)</f>
        <v>0</v>
      </c>
      <c r="C14" s="10">
        <f>MAXIFS('B6_Training_Log'!$M$2:$M$1000,'B6_Training_Log'!$E$2:$E$1000,"SkillFlag",'B6_Training_Log'!$F$2:$F$1000,"R",'B6_Training_Log'!$C$2:$C$1000,2)</f>
        <v>0</v>
      </c>
      <c r="D14" s="10">
        <f>MAXIFS('B6_Training_Log'!$M$2:$M$1000,'B6_Training_Log'!$E$2:$E$1000,"SkillFlag",'B6_Training_Log'!$F$2:$F$1000,"R",'B6_Training_Log'!$C$2:$C$1000,3)</f>
        <v>0</v>
      </c>
      <c r="E14" s="10">
        <f>MAXIFS('B6_Training_Log'!$M$2:$M$1000,'B6_Training_Log'!$E$2:$E$1000,"SkillFlag",'B6_Training_Log'!$F$2:$F$1000,"R",'B6_Training_Log'!$C$2:$C$1000,4)</f>
        <v>0</v>
      </c>
      <c r="F14" s="29">
        <f>MAXIFS('B6_Training_Log'!$M$2:$M$1000,'B6_Training_Log'!$E$2:$E$1000,"SkillFlag",'B6_Training_Log'!$F$2:$F$1000,"R")</f>
        <v>0</v>
      </c>
    </row>
    <row r="15" spans="1:6">
      <c r="A15" s="9" t="s">
        <v>688</v>
      </c>
      <c r="B15" s="11">
        <f>SUMIFS('B6_Training_Log'!$G$2:$G$1000,'B6_Training_Log'!$E$2:$E$1000,"Core",'B6_Training_Log'!$C$2:$C$1000,1)</f>
        <v>0</v>
      </c>
      <c r="C15" s="11">
        <f>SUMIFS('B6_Training_Log'!$G$2:$G$1000,'B6_Training_Log'!$E$2:$E$1000,"Core",'B6_Training_Log'!$C$2:$C$1000,2)</f>
        <v>0</v>
      </c>
      <c r="D15" s="11">
        <f>SUMIFS('B6_Training_Log'!$G$2:$G$1000,'B6_Training_Log'!$E$2:$E$1000,"Core",'B6_Training_Log'!$C$2:$C$1000,3)</f>
        <v>0</v>
      </c>
      <c r="E15" s="11">
        <f>SUMIFS('B6_Training_Log'!$G$2:$G$1000,'B6_Training_Log'!$E$2:$E$1000,"Core",'B6_Training_Log'!$C$2:$C$1000,4)</f>
        <v>0</v>
      </c>
      <c r="F15" s="28">
        <f>SUMIFS('B6_Training_Log'!$G$2:$G$1000,'B6_Training_Log'!$E$2:$E$1000,"Core")</f>
        <v>0</v>
      </c>
    </row>
    <row r="16" spans="1:6">
      <c r="A16" s="9" t="s">
        <v>689</v>
      </c>
      <c r="B16" s="11">
        <f>IFERROR(AVERAGEIFS('B6_Training_Log'!$J$2:$J$1000,'B6_Training_Log'!$C$2:$C$1000,1),0)</f>
        <v>0</v>
      </c>
      <c r="C16" s="11">
        <f>IFERROR(AVERAGEIFS('B6_Training_Log'!$J$2:$J$1000,'B6_Training_Log'!$C$2:$C$1000,2),0)</f>
        <v>0</v>
      </c>
      <c r="D16" s="11">
        <f>IFERROR(AVERAGEIFS('B6_Training_Log'!$J$2:$J$1000,'B6_Training_Log'!$C$2:$C$1000,3),0)</f>
        <v>0</v>
      </c>
      <c r="E16" s="11">
        <f>IFERROR(AVERAGEIFS('B6_Training_Log'!$J$2:$J$1000,'B6_Training_Log'!$C$2:$C$1000,4),0)</f>
        <v>0</v>
      </c>
      <c r="F16" s="28">
        <f>IFERROR(AVERAGE('B6_Training_Log'!$J$2:$J$1000),0)</f>
        <v>0</v>
      </c>
    </row>
    <row r="17" spans="1:6">
      <c r="A17" s="9" t="s">
        <v>690</v>
      </c>
      <c r="B17" s="11">
        <f>IFERROR(AVERAGEIFS('B6_Training_Log'!$K$2:$K$1000,'B6_Training_Log'!$C$2:$C$1000,1),0)</f>
        <v>0</v>
      </c>
      <c r="C17" s="11">
        <f>IFERROR(AVERAGEIFS('B6_Training_Log'!$K$2:$K$1000,'B6_Training_Log'!$C$2:$C$1000,2),0)</f>
        <v>0</v>
      </c>
      <c r="D17" s="11">
        <f>IFERROR(AVERAGEIFS('B6_Training_Log'!$K$2:$K$1000,'B6_Training_Log'!$C$2:$C$1000,3),0)</f>
        <v>0</v>
      </c>
      <c r="E17" s="11">
        <f>IFERROR(AVERAGEIFS('B6_Training_Log'!$K$2:$K$1000,'B6_Training_Log'!$C$2:$C$1000,4),0)</f>
        <v>0</v>
      </c>
      <c r="F17" s="28">
        <f>IFERROR(AVERAGE('B6_Training_Log'!$K$2:$K$1000),0)</f>
        <v>0</v>
      </c>
    </row>
    <row r="18" spans="1:6">
      <c r="A18" s="9" t="s">
        <v>64</v>
      </c>
      <c r="B18" s="10">
        <f>COUNTIFS('B6_Training_Log'!$K$2:$K$1000,"&gt;=4",'B6_Training_Log'!$C$2:$C$1000,1)</f>
        <v>0</v>
      </c>
      <c r="C18" s="10">
        <f>COUNTIFS('B6_Training_Log'!$K$2:$K$1000,"&gt;=4",'B6_Training_Log'!$C$2:$C$1000,2)</f>
        <v>0</v>
      </c>
      <c r="D18" s="10">
        <f>COUNTIFS('B6_Training_Log'!$K$2:$K$1000,"&gt;=4",'B6_Training_Log'!$C$2:$C$1000,3)</f>
        <v>0</v>
      </c>
      <c r="E18" s="10">
        <f>COUNTIFS('B6_Training_Log'!$K$2:$K$1000,"&gt;=4",'B6_Training_Log'!$C$2:$C$1000,4)</f>
        <v>0</v>
      </c>
      <c r="F18" s="29">
        <f>COUNTIF('B6_Training_Log'!$K$2:$K$1000,"&gt;=4")</f>
        <v>0</v>
      </c>
    </row>
    <row r="19" spans="1:6">
      <c r="A19" s="9" t="s">
        <v>691</v>
      </c>
      <c r="B19" s="10">
        <f>COUNTIFS('B6_Training_Log'!$C$2:$C$1000,1)</f>
        <v>0</v>
      </c>
      <c r="C19" s="10">
        <f>COUNTIFS('B6_Training_Log'!$C$2:$C$1000,2)</f>
        <v>0</v>
      </c>
      <c r="D19" s="10">
        <f>COUNTIFS('B6_Training_Log'!$C$2:$C$1000,3)</f>
        <v>0</v>
      </c>
      <c r="E19" s="10">
        <f>COUNTIFS('B6_Training_Log'!$C$2:$C$1000,4)</f>
        <v>0</v>
      </c>
      <c r="F19" s="29">
        <f>COUNTA('B6_Training_Log'!$A$2:$A$1000)</f>
        <v>0</v>
      </c>
    </row>
  </sheetData>
  <mergeCells count="2">
    <mergeCell ref="A1:F1"/>
    <mergeCell ref="A2:F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cols>
    <col min="1" max="1" width="8.7109375" customWidth="1"/>
    <col min="2" max="2" width="52.7109375" customWidth="1"/>
    <col min="3" max="4" width="40.7109375" customWidth="1"/>
  </cols>
  <sheetData>
    <row r="1" spans="1:4">
      <c r="A1" s="1" t="s">
        <v>692</v>
      </c>
      <c r="B1" s="1"/>
      <c r="C1" s="1"/>
      <c r="D1" s="1"/>
    </row>
    <row r="3" spans="1:4">
      <c r="A3" s="5" t="s">
        <v>693</v>
      </c>
      <c r="B3" s="5"/>
      <c r="C3" s="5"/>
      <c r="D3" s="5"/>
    </row>
    <row r="4" spans="1:4">
      <c r="A4" s="7" t="s">
        <v>694</v>
      </c>
      <c r="B4" s="7" t="s">
        <v>695</v>
      </c>
      <c r="C4" s="7" t="s">
        <v>696</v>
      </c>
      <c r="D4" s="7"/>
    </row>
    <row r="5" spans="1:4">
      <c r="A5" s="9" t="s">
        <v>519</v>
      </c>
      <c r="B5" s="4" t="s">
        <v>697</v>
      </c>
      <c r="C5" s="4" t="s">
        <v>698</v>
      </c>
      <c r="D5" s="4"/>
    </row>
    <row r="6" spans="1:4">
      <c r="A6" s="9" t="s">
        <v>520</v>
      </c>
      <c r="B6" s="4" t="s">
        <v>699</v>
      </c>
      <c r="C6" s="4" t="s">
        <v>700</v>
      </c>
      <c r="D6" s="4"/>
    </row>
    <row r="7" spans="1:4">
      <c r="A7" s="9" t="s">
        <v>521</v>
      </c>
      <c r="B7" s="4" t="s">
        <v>701</v>
      </c>
      <c r="C7" s="4" t="s">
        <v>702</v>
      </c>
      <c r="D7" s="4"/>
    </row>
    <row r="8" spans="1:4">
      <c r="A8" s="9" t="s">
        <v>358</v>
      </c>
      <c r="B8" s="4" t="s">
        <v>703</v>
      </c>
      <c r="C8" s="4" t="s">
        <v>704</v>
      </c>
      <c r="D8" s="4"/>
    </row>
    <row r="9" spans="1:4">
      <c r="A9" s="9" t="s">
        <v>361</v>
      </c>
      <c r="B9" s="4" t="s">
        <v>705</v>
      </c>
      <c r="C9" s="4" t="s">
        <v>706</v>
      </c>
      <c r="D9" s="4"/>
    </row>
    <row r="10" spans="1:4">
      <c r="A10" s="9" t="s">
        <v>522</v>
      </c>
      <c r="B10" s="4" t="s">
        <v>707</v>
      </c>
      <c r="C10" s="4" t="s">
        <v>708</v>
      </c>
      <c r="D10" s="4"/>
    </row>
    <row r="11" spans="1:4">
      <c r="A11" s="9" t="s">
        <v>523</v>
      </c>
      <c r="B11" s="4" t="s">
        <v>709</v>
      </c>
      <c r="C11" s="4" t="s">
        <v>710</v>
      </c>
      <c r="D11" s="4"/>
    </row>
    <row r="12" spans="1:4">
      <c r="A12" s="9" t="s">
        <v>524</v>
      </c>
      <c r="B12" s="4" t="s">
        <v>711</v>
      </c>
      <c r="C12" s="4" t="s">
        <v>712</v>
      </c>
      <c r="D12" s="4"/>
    </row>
    <row r="13" spans="1:4">
      <c r="A13" s="9" t="s">
        <v>525</v>
      </c>
      <c r="B13" s="4" t="s">
        <v>709</v>
      </c>
      <c r="C13" s="4" t="s">
        <v>713</v>
      </c>
      <c r="D13" s="4"/>
    </row>
    <row r="14" spans="1:4">
      <c r="A14" s="9" t="s">
        <v>526</v>
      </c>
      <c r="B14" s="4" t="s">
        <v>714</v>
      </c>
      <c r="C14" s="4" t="s">
        <v>715</v>
      </c>
      <c r="D14" s="4"/>
    </row>
    <row r="15" spans="1:4">
      <c r="A15" s="9" t="s">
        <v>527</v>
      </c>
      <c r="B15" s="4" t="s">
        <v>716</v>
      </c>
      <c r="C15" s="4" t="s">
        <v>717</v>
      </c>
      <c r="D15" s="4"/>
    </row>
    <row r="16" spans="1:4">
      <c r="A16" s="9" t="s">
        <v>528</v>
      </c>
      <c r="B16" s="4" t="s">
        <v>718</v>
      </c>
      <c r="C16" s="4" t="s">
        <v>719</v>
      </c>
      <c r="D16" s="4"/>
    </row>
    <row r="17" spans="1:4">
      <c r="A17" s="9" t="s">
        <v>529</v>
      </c>
      <c r="B17" s="4" t="s">
        <v>709</v>
      </c>
      <c r="C17" s="4" t="s">
        <v>720</v>
      </c>
      <c r="D17" s="4"/>
    </row>
    <row r="18" spans="1:4">
      <c r="A18" s="9" t="s">
        <v>530</v>
      </c>
      <c r="B18" s="4" t="s">
        <v>709</v>
      </c>
      <c r="C18" s="4" t="s">
        <v>721</v>
      </c>
      <c r="D18" s="4"/>
    </row>
    <row r="19" spans="1:4">
      <c r="A19" s="9" t="s">
        <v>90</v>
      </c>
      <c r="B19" s="4" t="s">
        <v>711</v>
      </c>
      <c r="C19" s="4" t="s">
        <v>722</v>
      </c>
      <c r="D19" s="4"/>
    </row>
    <row r="20" spans="1:4">
      <c r="A20" s="9" t="s">
        <v>531</v>
      </c>
      <c r="B20" s="4" t="s">
        <v>723</v>
      </c>
      <c r="C20" s="4" t="s">
        <v>724</v>
      </c>
      <c r="D20" s="4"/>
    </row>
    <row r="22" spans="1:4">
      <c r="A22" s="5" t="s">
        <v>725</v>
      </c>
      <c r="B22" s="5"/>
      <c r="C22" s="5"/>
      <c r="D22" s="5"/>
    </row>
    <row r="23" spans="1:4">
      <c r="A23" s="4" t="s">
        <v>726</v>
      </c>
      <c r="B23" s="4"/>
      <c r="C23" s="4"/>
      <c r="D23" s="4"/>
    </row>
    <row r="24" spans="1:4">
      <c r="A24" s="4" t="s">
        <v>727</v>
      </c>
      <c r="B24" s="4"/>
      <c r="C24" s="4"/>
      <c r="D24" s="4"/>
    </row>
    <row r="25" spans="1:4">
      <c r="A25" s="4" t="s">
        <v>728</v>
      </c>
      <c r="B25" s="4"/>
      <c r="C25" s="4"/>
      <c r="D25" s="4"/>
    </row>
    <row r="26" spans="1:4">
      <c r="A26" s="4" t="s">
        <v>729</v>
      </c>
      <c r="B26" s="4"/>
      <c r="C26" s="4"/>
      <c r="D26" s="4"/>
    </row>
    <row r="27" spans="1:4">
      <c r="A27" s="4" t="s">
        <v>730</v>
      </c>
      <c r="B27" s="4"/>
      <c r="C27" s="4"/>
      <c r="D27" s="4"/>
    </row>
    <row r="28" spans="1:4">
      <c r="A28" s="4" t="s">
        <v>731</v>
      </c>
      <c r="B28" s="4"/>
      <c r="C28" s="4"/>
      <c r="D28" s="4"/>
    </row>
    <row r="30" spans="1:4">
      <c r="A30" s="5" t="s">
        <v>732</v>
      </c>
      <c r="B30" s="5"/>
      <c r="C30" s="5"/>
      <c r="D30" s="5"/>
    </row>
    <row r="31" spans="1:4">
      <c r="A31" s="7" t="s">
        <v>733</v>
      </c>
      <c r="B31" s="7" t="s">
        <v>734</v>
      </c>
      <c r="C31" s="7" t="s">
        <v>735</v>
      </c>
      <c r="D31" s="7"/>
    </row>
    <row r="32" spans="1:4">
      <c r="A32" s="13" t="s">
        <v>47</v>
      </c>
      <c r="B32" s="4" t="s">
        <v>736</v>
      </c>
      <c r="C32" s="4" t="s">
        <v>737</v>
      </c>
      <c r="D32" s="4"/>
    </row>
    <row r="33" spans="1:4">
      <c r="A33" s="13" t="s">
        <v>33</v>
      </c>
      <c r="B33" s="4" t="s">
        <v>738</v>
      </c>
      <c r="C33" s="4" t="s">
        <v>739</v>
      </c>
      <c r="D33" s="4"/>
    </row>
    <row r="34" spans="1:4">
      <c r="A34" s="13" t="s">
        <v>32</v>
      </c>
      <c r="B34" s="4" t="s">
        <v>740</v>
      </c>
      <c r="C34" s="4" t="s">
        <v>741</v>
      </c>
      <c r="D34" s="4"/>
    </row>
    <row r="35" spans="1:4">
      <c r="A35" s="13" t="s">
        <v>297</v>
      </c>
      <c r="B35" s="4" t="s">
        <v>742</v>
      </c>
      <c r="C35" s="4" t="s">
        <v>743</v>
      </c>
      <c r="D35" s="4"/>
    </row>
    <row r="36" spans="1:4">
      <c r="A36" s="13" t="s">
        <v>744</v>
      </c>
      <c r="B36" s="4" t="s">
        <v>745</v>
      </c>
      <c r="C36" s="4" t="s">
        <v>746</v>
      </c>
      <c r="D36" s="4"/>
    </row>
    <row r="37" spans="1:4">
      <c r="A37" s="13" t="s">
        <v>747</v>
      </c>
      <c r="B37" s="4" t="s">
        <v>748</v>
      </c>
      <c r="C37" s="4" t="s">
        <v>749</v>
      </c>
      <c r="D37" s="4"/>
    </row>
    <row r="39" spans="1:4">
      <c r="A39" s="5" t="s">
        <v>750</v>
      </c>
      <c r="B39" s="5"/>
      <c r="C39" s="5"/>
      <c r="D39" s="5"/>
    </row>
    <row r="40" spans="1:4">
      <c r="A40" s="4" t="s">
        <v>751</v>
      </c>
      <c r="B40" s="4"/>
      <c r="C40" s="4"/>
      <c r="D40" s="4"/>
    </row>
    <row r="41" spans="1:4">
      <c r="A41" s="4" t="s">
        <v>752</v>
      </c>
      <c r="B41" s="4"/>
      <c r="C41" s="4"/>
      <c r="D41" s="4"/>
    </row>
    <row r="42" spans="1:4">
      <c r="A42" s="4" t="s">
        <v>753</v>
      </c>
      <c r="B42" s="4"/>
      <c r="C42" s="4"/>
      <c r="D42" s="4"/>
    </row>
    <row r="43" spans="1:4">
      <c r="A43" s="4" t="s">
        <v>754</v>
      </c>
      <c r="B43" s="4"/>
      <c r="C43" s="4"/>
      <c r="D43" s="4"/>
    </row>
    <row r="44" spans="1:4">
      <c r="A44" s="4" t="s">
        <v>755</v>
      </c>
      <c r="B44" s="4"/>
      <c r="C44" s="4"/>
      <c r="D44" s="4"/>
    </row>
    <row r="45" spans="1:4">
      <c r="A45" s="4" t="s">
        <v>756</v>
      </c>
      <c r="B45" s="4"/>
      <c r="C45" s="4"/>
      <c r="D45" s="4"/>
    </row>
    <row r="46" spans="1:4">
      <c r="A46" s="4" t="s">
        <v>757</v>
      </c>
      <c r="B46" s="4"/>
      <c r="C46" s="4"/>
      <c r="D46" s="4"/>
    </row>
  </sheetData>
  <mergeCells count="42">
    <mergeCell ref="A1:D1"/>
    <mergeCell ref="A3:D3"/>
    <mergeCell ref="C4:D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A22:D22"/>
    <mergeCell ref="A23:D23"/>
    <mergeCell ref="A24:D24"/>
    <mergeCell ref="A25:D25"/>
    <mergeCell ref="A26:D26"/>
    <mergeCell ref="A27:D27"/>
    <mergeCell ref="A28:D28"/>
    <mergeCell ref="A30:D30"/>
    <mergeCell ref="C31:D31"/>
    <mergeCell ref="C32:D32"/>
    <mergeCell ref="C33:D33"/>
    <mergeCell ref="C34:D34"/>
    <mergeCell ref="C35:D35"/>
    <mergeCell ref="C36:D36"/>
    <mergeCell ref="C37:D37"/>
    <mergeCell ref="A39:D39"/>
    <mergeCell ref="A40:D40"/>
    <mergeCell ref="A41:D41"/>
    <mergeCell ref="A42:D42"/>
    <mergeCell ref="A43:D43"/>
    <mergeCell ref="A44:D44"/>
    <mergeCell ref="A45:D45"/>
    <mergeCell ref="A46:D4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4</vt:i4>
      </vt:variant>
    </vt:vector>
  </HeadingPairs>
  <TitlesOfParts>
    <vt:vector size="13" baseType="lpstr">
      <vt:lpstr>B6_Dashboard</vt:lpstr>
      <vt:lpstr>B6_Schedule</vt:lpstr>
      <vt:lpstr>B6_Plan_Detail</vt:lpstr>
      <vt:lpstr>B6_Exercise_Library</vt:lpstr>
      <vt:lpstr>B6_Training_Log</vt:lpstr>
      <vt:lpstr>B6_Nutrition_Targets</vt:lpstr>
      <vt:lpstr>B6_Rules</vt:lpstr>
      <vt:lpstr>B6_Weekly_Summary</vt:lpstr>
      <vt:lpstr>Log_Guide</vt:lpstr>
      <vt:lpstr>BlockCode</vt:lpstr>
      <vt:lpstr>BW</vt:lpstr>
      <vt:lpstr>DayTypes</vt:lpstr>
      <vt:lpstr>ExerciseIDs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2026-06-11T18:30:32Z</dcterms:created>
  <dcterms:modified xsi:type="dcterms:W3CDTF">2026-06-11T18:30:32Z</dcterms:modified>
</cp:coreProperties>
</file>