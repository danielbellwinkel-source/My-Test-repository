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<sst xmlns="http://schemas.openxmlformats.org/spreadsheetml/2006/main" count="1438" uniqueCount="770">
  <si>
    <t>B6 — Performance-Block Dashboard (Google-Sheets-Version)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</si>
  <si>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</si>
  <si>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</si>
  <si>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</si>
  <si>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</si>
  <si>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</si>
  <si>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</si>
  <si>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</si>
  <si>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</si>
  <si>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</si>
  <si>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</si>
  <si>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</si>
  <si>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</si>
  <si>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</si>
  <si>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</si>
  <si>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</si>
  <si>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</si>
  <si>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</si>
  <si>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</si>
  <si>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</si>
  <si>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</si>
  <si>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</si>
  <si>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</si>
  <si>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</si>
  <si>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</si>
  <si>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</si>
  <si>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</si>
  <si>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</si>
  <si>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</si>
  <si>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</si>
  <si>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</si>
  <si>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</si>
  <si>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</si>
  <si>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</si>
  <si>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</si>
  <si>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</si>
  <si>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</si>
  <si>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</si>
  <si>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</si>
  <si>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</si>
  <si>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</si>
  <si>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</si>
  <si>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</si>
  <si>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</si>
  <si>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</si>
  <si>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</si>
  <si>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</si>
  <si>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</si>
  <si>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</si>
  <si>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</si>
  <si>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</si>
  <si>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</si>
  <si>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</si>
  <si>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</si>
  <si>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</si>
  <si>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</si>
  <si>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</si>
  <si>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</si>
  <si>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</si>
  <si>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</si>
  <si>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</si>
  <si>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</si>
  <si>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</si>
  <si>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</si>
  <si>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</si>
  <si>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</si>
  <si>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</si>
  <si>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</si>
  <si>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</si>
  <si>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</si>
  <si>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</si>
  <si>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</si>
  <si>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</si>
  <si>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</si>
  <si>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</si>
  <si>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</si>
  <si>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bei sauberem Re-Entry senken.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</si>
  <si>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</si>
  <si>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</si>
  <si>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</si>
  <si>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</si>
  <si>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</si>
  <si>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</si>
  <si>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</si>
  <si>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</si>
  <si>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</si>
  <si>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</si>
  <si>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</si>
  <si>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</si>
  <si>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</si>
  <si>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</si>
  <si>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</si>
  <si>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</si>
  <si>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</si>
  <si>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</si>
  <si>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</si>
  <si>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</si>
  <si>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</si>
  <si>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</si>
  <si>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</si>
  <si>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</si>
  <si>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</si>
  <si>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</si>
  <si>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</si>
  <si>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</si>
  <si>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</si>
  <si>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</si>
  <si>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</si>
  <si>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</si>
  <si>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</si>
  <si>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</si>
  <si>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</si>
  <si>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</si>
  <si>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</si>
  <si>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</si>
  <si>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</si>
  <si>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</si>
  <si>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</si>
  <si>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</si>
  <si>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</si>
  <si>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</si>
  <si>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</si>
  <si>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</si>
  <si>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</si>
  <si>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</si>
  <si>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</si>
  <si>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</si>
  <si>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</si>
  <si>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</si>
  <si>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</si>
  <si>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</si>
  <si>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</si>
  <si>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</si>
  <si>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</si>
  <si>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</si>
  <si>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</si>
  <si>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</si>
  <si>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</si>
  <si>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</si>
  <si>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</si>
  <si>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</si>
  <si>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</si>
  <si>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</si>
  <si>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</si>
  <si>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</si>
  <si>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</si>
  <si>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</si>
  <si>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</si>
  <si>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</si>
  <si>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</si>
  <si>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</si>
  <si>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</si>
  <si>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</si>
  <si>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</si>
  <si>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</si>
  <si>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</si>
  <si>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</si>
  <si>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</si>
  <si>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</si>
  <si>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</si>
  <si>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</si>
  <si>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</si>
  <si>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</si>
  <si>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</si>
  <si>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</si>
  <si>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</si>
  <si>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</si>
  <si>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</si>
  <si>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</si>
  <si>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</si>
  <si>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</si>
  <si>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</si>
  <si>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</si>
  <si>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</si>
  <si>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</si>
  <si>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</si>
  <si>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</si>
  <si>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</si>
  <si>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</si>
  <si>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</si>
  <si>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</si>
  <si>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</si>
  <si>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</si>
  <si>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</si>
  <si>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</si>
  <si>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</si>
  <si>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</si>
  <si>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</si>
  <si>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</si>
  <si>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</si>
  <si>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</si>
  <si>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</si>
  <si>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</si>
  <si>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</si>
  <si>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</si>
  <si>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</si>
  <si>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</si>
  <si>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</si>
  <si>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</si>
  <si>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</si>
  <si>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</si>
  <si>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</si>
  <si>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</si>
  <si>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</si>
  <si>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</si>
  <si>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</si>
  <si>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</si>
  <si>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</si>
  <si>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</si>
  <si>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</si>
  <si>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</si>
  <si>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</si>
  <si>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</si>
  <si>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</si>
  <si>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</si>
  <si>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</si>
  <si>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</si>
  <si>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</si>
  <si>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</si>
  <si>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</si>
  <si>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</si>
  <si>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</si>
  <si>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</si>
  <si>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</si>
  <si>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</si>
  <si>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</si>
  <si>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</si>
  <si>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</si>
  <si>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</si>
  <si>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</si>
  <si>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</si>
  <si>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</si>
  <si>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</si>
  <si>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</si>
  <si>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</si>
  <si>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</si>
  <si>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</si>
  <si>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</si>
  <si>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</si>
  <si>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</si>
  <si>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</si>
  <si>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</si>
  <si>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</si>
  <si>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</si>
  <si>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</si>
  <si>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</si>
  <si>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</si>
  <si>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</si>
  <si>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</si>
  <si>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</si>
  <si>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</si>
  <si>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</si>
  <si>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</si>
  <si>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</si>
  <si>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</si>
  <si>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</si>
  <si>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</si>
  <si>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</si>
  <si>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</si>
  <si>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</si>
  <si>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</si>
  <si>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</si>
  <si>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</si>
  <si>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</si>
  <si>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</si>
  <si>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</si>
  <si>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</si>
  <si>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</si>
  <si>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</si>
  <si>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</si>
  <si>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</si>
  <si>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</si>
  <si>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</si>
  <si>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</si>
  <si>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</si>
  <si>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</si>
  <si>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</si>
  <si>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</si>
  <si>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</si>
  <si>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</si>
  <si>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</si>
  <si>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</si>
  <si>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</si>
  <si>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</si>
  <si>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</si>
  <si>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</si>
  <si>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</si>
  <si>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</si>
  <si>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</si>
  <si>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</si>
  <si>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</si>
  <si>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</si>
  <si>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</si>
  <si>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</si>
  <si>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</si>
  <si>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</si>
  <si>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</si>
  <si>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</si>
  <si>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</si>
  <si>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</si>
  <si>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</si>
  <si>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</si>
  <si>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</si>
  <si>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</si>
  <si>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</si>
  <si>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</si>
  <si>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</si>
  <si>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</si>
  <si>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</si>
  <si>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</si>
  <si>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</si>
  <si>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</si>
  <si>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</si>
  <si>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</si>
  <si>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</si>
  <si>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</si>
  <si>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</si>
  <si>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</si>
  <si>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</si>
  <si>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</si>
  <si>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</si>
  <si>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</si>
  <si>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</si>
  <si>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</si>
  <si>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</si>
  <si>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</si>
  <si>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</si>
  <si>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</si>
  <si>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</si>
  <si>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</si>
  <si>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</si>
  <si>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</si>
  <si>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</si>
  <si>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</si>
  <si>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</si>
  <si>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</si>
  <si>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</si>
  <si>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</si>
  <si>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</si>
  <si>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</si>
  <si>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</si>
  <si>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</si>
  <si>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</si>
  <si>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</si>
  <si>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</si>
  <si>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</si>
  <si>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</si>
  <si>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</si>
  <si>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</si>
  <si>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</si>
  <si>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</si>
  <si>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</si>
  <si>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</si>
  <si>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</si>
  <si>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</si>
  <si>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</si>
  <si>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</si>
  <si>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Logging mappt gesprochene Begriffe auf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</si>
  <si>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</si>
  <si>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</si>
  <si>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</si>
  <si>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</si>
  <si>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</si>
  <si>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</si>
  <si>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</si>
  <si>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</si>
  <si>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</si>
  <si>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</si>
  <si>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</si>
  <si>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</si>
  <si>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</si>
  <si>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</si>
  <si>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</si>
  <si>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</si>
  <si>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</si>
  <si>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</si>
  <si>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</si>
  <si>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</si>
  <si>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</si>
  <si>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</si>
  <si>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</si>
  <si>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</si>
  <si>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</si>
  <si>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</si>
  <si>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</si>
  <si>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</si>
  <si>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</si>
  <si>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</si>
  <si>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</si>
  <si>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</si>
  <si>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</si>
  <si>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</si>
  <si>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</si>
  <si>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</si>
  <si>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</si>
  <si>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</si>
  <si>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</si>
  <si>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</si>
  <si>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</si>
  <si>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</si>
  <si>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</si>
  <si>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</si>
  <si>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</si>
  <si>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</si>
  <si>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</si>
  <si>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</si>
  <si>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</si>
  <si>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</si>
  <si>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</si>
  <si>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</si>
  <si>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</si>
  <si>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</si>
  <si>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</si>
  <si>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</si>
  <si>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</si>
  <si>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</si>
  <si>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</si>
  <si>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</si>
  <si>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</si>
  <si>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</si>
  <si>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</si>
  <si>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</si>
  <si>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</si>
  <si>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</si>
  <si>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</si>
  <si>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</si>
  <si>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</si>
  <si>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</si>
  <si>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</si>
  <si>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</si>
  <si>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</si>
  <si>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</si>
  <si>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</si>
  <si>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</si>
  <si>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</si>
  <si>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</si>
  <si>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</si>
  <si>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</si>
  <si>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</si>
  <si>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</si>
  <si>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</si>
  <si>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</si>
  <si>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</si>
  <si>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</si>
  <si>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</si>
  <si>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</si>
  <si>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</si>
  <si>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</si>
  <si>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</si>
  <si>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</si>
  <si>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</si>
  <si>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</si>
  <si>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</si>
  <si>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</si>
  <si>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</si>
  <si>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</si>
  <si>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</si>
  <si>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</si>
  <si>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</si>
  <si>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</si>
  <si>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</si>
  <si>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</si>
  <si>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</si>
  <si>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</si>
  <si>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</si>
  <si>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</si>
  <si>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</si>
  <si>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</si>
  <si>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</si>
  <si>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</si>
  <si>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</si>
  <si>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</si>
  <si>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</si>
  <si>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</si>
  <si>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</si>
  <si>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</si>
  <si>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</si>
  <si>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</si>
  <si>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</si>
  <si>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</si>
  <si>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</si>
  <si>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</si>
  <si>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</si>
  <si>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</si>
  <si>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</si>
  <si>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</si>
  <si>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</si>
  <si>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</si>
  <si>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</si>
  <si>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</si>
  <si>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</si>
  <si>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</si>
  <si>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</si>
  <si>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</si>
  <si>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</si>
  <si>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</si>
  <si>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</si>
  <si>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</si>
  <si>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</si>
  <si>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</si>
  <si>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</si>
  <si>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</si>
  <si>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</si>
  <si>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</si>
  <si>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</si>
  <si>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</si>
  <si>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</si>
  <si>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</si>
  <si>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</si>
  <si>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</si>
  <si>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</si>
  <si>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</si>
  <si>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</si>
  <si>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</si>
  <si>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</si>
  <si>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</si>
  <si>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</si>
  <si>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</si>
  <si>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</si>
  <si>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</si>
  <si>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</si>
  <si>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</si>
  <si>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</si>
  <si>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</si>
  <si>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</si>
  <si>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</si>
  <si>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</si>
  <si>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</si>
  <si>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</si>
  <si>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</si>
  <si>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</si>
  <si>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</si>
  <si>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</si>
  <si>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</si>
  <si>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</si>
  <si>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</si>
  <si>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</si>
  <si>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</si>
  <si>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</si>
  <si>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</si>
  <si>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</si>
  <si>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</si>
  <si>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</si>
  <si>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</si>
  <si>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</si>
  <si>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</si>
  <si>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</si>
  <si>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</si>
  <si>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</si>
  <si>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</si>
  <si>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</si>
  <si>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</si>
  <si>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Rowing-Maschine, horizontal, solide</t>
  </si>
  <si>
    <t>Latzug-Maschine</t>
  </si>
  <si>
    <t>Reverse Butterfly</t>
  </si>
  <si>
    <t>Face Pull; Gewicht ~30 kg, noch pruefen</t>
  </si>
  <si>
    <t>30s</t>
  </si>
  <si>
    <t>Core-Finisher, 3x30s Hollow</t>
  </si>
  <si>
    <t>Parallettes links, ging gut; wegen Handgelenk modifiziert</t>
  </si>
  <si>
    <t>Boden rechts mit Abstuetzen/Halten; Handgelenk - separat bewerten</t>
  </si>
  <si>
    <t>Parallettes-Holds zu Beginn; Handgelenk-Ziehen mild/kein Problem; andere Hand Druck-/Greifproblem (evtl. Unterarm/Hand ueberreizt)</t>
  </si>
  <si>
    <t>6</t>
  </si>
  <si>
    <t>runter von 45 auf 40 kg wegen starkem Muskelkater (Vorwoche); Quads links brannten; Qualitaet nicht ideal</t>
  </si>
  <si>
    <t>12-15</t>
  </si>
  <si>
    <t>12/12/15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</si>
  <si>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</si>
  <si>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</si>
  <si>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</si>
  <si>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</si>
  <si>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</si>
  <si>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</si>
  <si>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</si>
  <si>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</si>
  <si>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</si>
  <si>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</si>
  <si>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</si>
  <si>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</si>
  <si>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</si>
  <si>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</si>
  <si>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</si>
  <si>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</si>
  <si>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</si>
  <si>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</si>
  <si>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</si>
  <si>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</si>
  <si>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</si>
  <si>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</si>
  <si>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</si>
  <si>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</si>
  <si>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</si>
  <si>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</si>
  <si>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</si>
  <si>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</si>
  <si>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</si>
  <si>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</si>
  <si>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</si>
  <si>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</si>
  <si>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</si>
  <si>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</si>
  <si>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(Gates, Hinge-Rebuild, BWS-Protokoll, Referenzen)</t>
  </si>
  <si>
    <t>Vier-Stufen-Gates (Pain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</si>
  <si>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</si>
  <si>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</si>
  <si>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</si>
  <si>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</si>
  <si>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</si>
  <si>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</si>
  <si>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</si>
  <si>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</si>
  <si>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</si>
  <si>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</si>
  <si>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</si>
  <si>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</si>
  <si>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</si>
  <si>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</si>
  <si>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</si>
  <si>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</si>
  <si>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</si>
  <si>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</si>
  <si>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</si>
  <si>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</si>
  <si>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</si>
  <si>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</si>
  <si>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</si>
  <si>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</si>
  <si>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</si>
  <si>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</si>
  <si>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</si>
  <si>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</si>
  <si>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</si>
  <si>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</si>
  <si>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</si>
  <si>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</si>
  <si>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</si>
  <si>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</si>
  <si>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</si>
  <si>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</si>
  <si>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</si>
  <si>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</si>
  <si>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</si>
  <si>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</si>
  <si>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</si>
  <si>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</si>
  <si>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</si>
  <si>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</si>
  <si>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</si>
  <si>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</si>
  <si>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</si>
  <si>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</si>
  <si>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</si>
  <si>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</si>
  <si>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</si>
  <si>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</si>
  <si>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</si>
  <si>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</si>
  <si>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</si>
  <si>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</si>
  <si>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</si>
  <si>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</si>
  <si>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</si>
  <si>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</t>
  </si>
  <si>
    <t>BWS-Mobility-Protokoll (Einklemm-Thema, 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</si>
  <si>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</si>
  <si>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</si>
  <si>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</si>
  <si>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</si>
  <si>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</si>
  <si>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</si>
  <si>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</si>
  <si>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</si>
  <si>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</si>
  <si>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</si>
  <si>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</si>
  <si>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</si>
  <si>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</si>
  <si>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</si>
  <si>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</si>
  <si>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</si>
  <si>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</si>
  <si>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</si>
  <si>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</si>
  <si>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</si>
  <si>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</si>
  <si>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</si>
  <si>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</si>
  <si>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</si>
  <si>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</si>
  <si>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</si>
  <si>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</si>
  <si>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</si>
  <si>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</si>
  <si>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</si>
  <si>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feste Bereiche.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</si>
  <si>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</si>
  <si>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</si>
  <si>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</si>
  <si>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</si>
  <si>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</si>
  <si>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</si>
  <si>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</si>
  <si>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</si>
  <si>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</si>
  <si>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</si>
  <si>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</si>
  <si>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</si>
  <si>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 (Google-Sheets-Version)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</si>
  <si>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</si>
  <si>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</si>
  <si>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</si>
  <si>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</si>
  <si>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</si>
  <si>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</si>
  <si>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</si>
  <si>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</si>
  <si>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</si>
  <si>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</si>
  <si>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</si>
  <si>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</si>
  <si>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</si>
  <si>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</si>
  <si>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</si>
  <si>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</si>
  <si>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</si>
  <si>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</si>
  <si>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</si>
  <si>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</si>
  <si>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</si>
  <si>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</si>
  <si>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</si>
  <si>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</si>
  <si>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</si>
  <si>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</si>
  <si>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</si>
  <si>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</si>
  <si>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</si>
  <si>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</si>
  <si>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</si>
  <si>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</si>
  <si>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</si>
  <si>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</si>
  <si>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</si>
  <si>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</si>
  <si>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</si>
  <si>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</si>
  <si>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</si>
  <si>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</si>
  <si>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</si>
  <si>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</si>
  <si>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</si>
  <si>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</si>
  <si>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</si>
  <si>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</si>
  <si>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</si>
  <si>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</si>
  <si>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</si>
  <si>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</si>
  <si>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</si>
  <si>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</si>
  <si>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</si>
  <si>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</si>
  <si>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</si>
  <si>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</si>
  <si>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</si>
  <si>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</si>
  <si>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</t>
  </si>
  <si>
    <t>3) Category &amp; Key fuellen sich per Formel/Skript. Niemals ueberschreiben.</t>
  </si>
  <si>
    <t>4) B6_Weekly_Summary und B6_Dashboard aktualisieren sich automatisch.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</si>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</sst>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COUNTA('B6_Training_Log'!$A$2:$A$1000)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IFERROR(AVERAGE('B6_Training_Log'!$J$2:$J$1000),0)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IFERROR(AVERAGE('B6_Training_Log'!$K$2:$K$1000),0)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COUNTIF('B6_Training_Log'!$K$2:$K$1000,"&gt;=4")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SUMIFS('B6_Training_Log'!$N$2:$N$1000,'B6_Training_Log'!$D$2:$D$1000,"90")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MAXIFS('B6_Training_Log'!$M$2:$M$1000,'B6_Training_Log'!$E$2:$E$1000,"SkillOAHS",'B6_Training_Log'!$F$2:$F$1000,"L")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MAXIFS('B6_Training_Log'!$M$2:$M$1000,'B6_Training_Log'!$E$2:$E$1000,"SkillOAHS",'B6_Training_Log'!$F$2:$F$1000,"R")</f>
        <v>0</v>
      </c>
      <c r="C37" s="6" t="s">
        <v>73</v>
      </c>
      <c r="D37" s="4">
        <f>IF(B37=0,"-",IF(B37&gt;=MAXIFS('B6_Training_Log'!$M$2:$M$1000,'B6_Training_Log'!$E$2:$E$1000,"SkillOAHS",'B6_Training_Log'!$F$2:$F$1000,"L")*0.7,"Asymmetrie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MAXIFS('B6_Training_Log'!$M$2:$M$1000,'B6_Training_Log'!$E$2:$E$1000,"SkillFlag",'B6_Training_Log'!$F$2:$F$1000,"L")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MAXIFS('B6_Training_Log'!$M$2:$M$1000,'B6_Training_Log'!$E$2:$E$1000,"SkillFlag",'B6_Training_Log'!$F$2:$F$1000,"R")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s="7" t="s">
        <v>358</v>
      </c>
      <c r="B3" s="7" t="s">
        <v>359</v>
      </c>
      <c r="C3" s="7" t="s">
        <v>360</v>
      </c>
      <c r="D3" s="7" t="s">
        <v>361</v>
      </c>
      <c r="E3" s="7" t="s">
        <v>362</v>
      </c>
      <c r="F3" s="7" t="s">
        <v>363</v>
      </c>
      <c r="G3" s="7" t="s">
        <v>364</v>
      </c>
      <c r="H3" s="7" t="s">
        <v>365</v>
      </c>
      <c r="K3" s="7" t="s">
        <v>518</v>
      </c>
    </row>
    <row r="4" spans="1:11">
      <c r="A4" s="6" t="s">
        <v>366</v>
      </c>
      <c r="B4" s="4" t="s">
        <v>367</v>
      </c>
      <c r="C4" s="4" t="s">
        <v>368</v>
      </c>
      <c r="D4" s="6" t="s">
        <v>369</v>
      </c>
      <c r="E4" s="4" t="s">
        <v>370</v>
      </c>
      <c r="F4" s="6" t="s">
        <v>371</v>
      </c>
      <c r="G4" s="6" t="s">
        <v>371</v>
      </c>
      <c r="H4" s="6" t="s">
        <v>371</v>
      </c>
      <c r="K4" s="6" t="s">
        <v>92</v>
      </c>
    </row>
    <row r="5" spans="1:11">
      <c r="A5" s="6" t="s">
        <v>372</v>
      </c>
      <c r="B5" s="4" t="s">
        <v>373</v>
      </c>
      <c r="C5" s="4" t="s">
        <v>374</v>
      </c>
      <c r="D5" s="6" t="s">
        <v>375</v>
      </c>
      <c r="E5" s="4" t="s">
        <v>376</v>
      </c>
      <c r="F5" s="6" t="s">
        <v>371</v>
      </c>
      <c r="G5" s="6" t="s">
        <v>377</v>
      </c>
      <c r="H5" s="6" t="s">
        <v>377</v>
      </c>
      <c r="K5" s="6" t="s">
        <v>100</v>
      </c>
    </row>
    <row r="6" spans="1:11">
      <c r="A6" s="6" t="s">
        <v>378</v>
      </c>
      <c r="B6" s="4" t="s">
        <v>379</v>
      </c>
      <c r="C6" s="4" t="s">
        <v>380</v>
      </c>
      <c r="D6" s="6" t="s">
        <v>375</v>
      </c>
      <c r="E6" s="4" t="s">
        <v>376</v>
      </c>
      <c r="F6" s="6" t="s">
        <v>371</v>
      </c>
      <c r="G6" s="6" t="s">
        <v>377</v>
      </c>
      <c r="H6" s="6" t="s">
        <v>377</v>
      </c>
      <c r="K6" s="6" t="s">
        <v>107</v>
      </c>
    </row>
    <row r="7" spans="1:11">
      <c r="A7" s="6" t="s">
        <v>381</v>
      </c>
      <c r="B7" s="4" t="s">
        <v>382</v>
      </c>
      <c r="C7" s="4" t="s">
        <v>383</v>
      </c>
      <c r="D7" s="6" t="s">
        <v>375</v>
      </c>
      <c r="E7" s="4" t="s">
        <v>376</v>
      </c>
      <c r="F7" s="6" t="s">
        <v>371</v>
      </c>
      <c r="G7" s="6" t="s">
        <v>377</v>
      </c>
      <c r="H7" s="6" t="s">
        <v>371</v>
      </c>
      <c r="K7" s="6" t="s">
        <v>114</v>
      </c>
    </row>
    <row r="8" spans="1:11">
      <c r="A8" s="6" t="s">
        <v>384</v>
      </c>
      <c r="B8" s="4" t="s">
        <v>385</v>
      </c>
      <c r="C8" s="4" t="s">
        <v>386</v>
      </c>
      <c r="D8" s="6" t="s">
        <v>387</v>
      </c>
      <c r="E8" s="4" t="s">
        <v>388</v>
      </c>
      <c r="F8" s="6" t="s">
        <v>371</v>
      </c>
      <c r="G8" s="6" t="s">
        <v>377</v>
      </c>
      <c r="H8" s="6" t="s">
        <v>377</v>
      </c>
      <c r="K8" s="6" t="s">
        <v>121</v>
      </c>
    </row>
    <row r="9" spans="1:11">
      <c r="A9" s="6" t="s">
        <v>389</v>
      </c>
      <c r="B9" s="4" t="s">
        <v>390</v>
      </c>
      <c r="C9" s="4" t="s">
        <v>391</v>
      </c>
      <c r="D9" s="6" t="s">
        <v>387</v>
      </c>
      <c r="E9" s="4" t="s">
        <v>388</v>
      </c>
      <c r="F9" s="6" t="s">
        <v>371</v>
      </c>
      <c r="G9" s="6" t="s">
        <v>377</v>
      </c>
      <c r="H9" s="6" t="s">
        <v>377</v>
      </c>
      <c r="K9" s="6" t="s">
        <v>153</v>
      </c>
    </row>
    <row r="10" spans="1:11">
      <c r="A10" s="6" t="s">
        <v>392</v>
      </c>
      <c r="B10" s="4" t="s">
        <v>393</v>
      </c>
      <c r="C10" s="4" t="s">
        <v>394</v>
      </c>
      <c r="D10" s="6" t="s">
        <v>193</v>
      </c>
      <c r="E10" s="4" t="s">
        <v>395</v>
      </c>
      <c r="F10" s="6" t="s">
        <v>371</v>
      </c>
      <c r="G10" s="6" t="s">
        <v>371</v>
      </c>
      <c r="H10" s="6" t="s">
        <v>371</v>
      </c>
    </row>
    <row r="11" spans="1:11">
      <c r="A11" s="6" t="s">
        <v>396</v>
      </c>
      <c r="B11" s="4" t="s">
        <v>397</v>
      </c>
      <c r="C11" s="4" t="s">
        <v>398</v>
      </c>
      <c r="D11" s="6" t="s">
        <v>193</v>
      </c>
      <c r="E11" s="4" t="s">
        <v>399</v>
      </c>
      <c r="F11" s="6" t="s">
        <v>371</v>
      </c>
      <c r="G11" s="6" t="s">
        <v>377</v>
      </c>
      <c r="H11" s="6" t="s">
        <v>371</v>
      </c>
    </row>
    <row r="12" spans="1:11">
      <c r="A12" s="6" t="s">
        <v>400</v>
      </c>
      <c r="B12" s="4" t="s">
        <v>401</v>
      </c>
      <c r="C12" s="4" t="s">
        <v>402</v>
      </c>
      <c r="D12" s="6" t="s">
        <v>193</v>
      </c>
      <c r="E12" s="4" t="s">
        <v>399</v>
      </c>
      <c r="F12" s="6" t="s">
        <v>371</v>
      </c>
      <c r="G12" s="6" t="s">
        <v>377</v>
      </c>
      <c r="H12" s="6" t="s">
        <v>371</v>
      </c>
    </row>
    <row r="13" spans="1:11">
      <c r="A13" s="6" t="s">
        <v>403</v>
      </c>
      <c r="B13" s="4" t="s">
        <v>404</v>
      </c>
      <c r="C13" s="4" t="s">
        <v>201</v>
      </c>
      <c r="D13" s="6" t="s">
        <v>405</v>
      </c>
      <c r="E13" s="4" t="s">
        <v>406</v>
      </c>
      <c r="F13" s="6" t="s">
        <v>377</v>
      </c>
      <c r="G13" s="6" t="s">
        <v>371</v>
      </c>
      <c r="H13" s="6" t="s">
        <v>371</v>
      </c>
    </row>
    <row r="14" spans="1:11">
      <c r="A14" s="6" t="s">
        <v>407</v>
      </c>
      <c r="B14" s="4" t="s">
        <v>408</v>
      </c>
      <c r="C14" s="4" t="s">
        <v>409</v>
      </c>
      <c r="D14" s="6" t="s">
        <v>405</v>
      </c>
      <c r="E14" s="4" t="s">
        <v>406</v>
      </c>
      <c r="F14" s="6" t="s">
        <v>377</v>
      </c>
      <c r="G14" s="6" t="s">
        <v>371</v>
      </c>
      <c r="H14" s="6" t="s">
        <v>371</v>
      </c>
    </row>
    <row r="15" spans="1:11">
      <c r="A15" s="6" t="s">
        <v>410</v>
      </c>
      <c r="B15" s="4" t="s">
        <v>411</v>
      </c>
      <c r="C15" s="4" t="s">
        <v>412</v>
      </c>
      <c r="D15" s="6" t="s">
        <v>405</v>
      </c>
      <c r="E15" s="4" t="s">
        <v>406</v>
      </c>
      <c r="F15" s="6" t="s">
        <v>377</v>
      </c>
      <c r="G15" s="6" t="s">
        <v>371</v>
      </c>
      <c r="H15" s="6" t="s">
        <v>371</v>
      </c>
    </row>
    <row r="16" spans="1:11">
      <c r="A16" s="6" t="s">
        <v>413</v>
      </c>
      <c r="B16" s="4" t="s">
        <v>414</v>
      </c>
      <c r="C16" s="4" t="s">
        <v>415</v>
      </c>
      <c r="D16" s="6" t="s">
        <v>405</v>
      </c>
      <c r="E16" s="4" t="s">
        <v>416</v>
      </c>
      <c r="F16" s="6" t="s">
        <v>377</v>
      </c>
      <c r="G16" s="6" t="s">
        <v>371</v>
      </c>
      <c r="H16" s="6" t="s">
        <v>371</v>
      </c>
    </row>
    <row r="17" spans="1:8">
      <c r="A17" s="6" t="s">
        <v>417</v>
      </c>
      <c r="B17" s="4" t="s">
        <v>418</v>
      </c>
      <c r="C17" s="4" t="s">
        <v>419</v>
      </c>
      <c r="D17" s="6" t="s">
        <v>405</v>
      </c>
      <c r="E17" s="4" t="s">
        <v>420</v>
      </c>
      <c r="F17" s="6" t="s">
        <v>377</v>
      </c>
      <c r="G17" s="6" t="s">
        <v>371</v>
      </c>
      <c r="H17" s="6" t="s">
        <v>371</v>
      </c>
    </row>
    <row r="18" spans="1:8">
      <c r="A18" s="6" t="s">
        <v>421</v>
      </c>
      <c r="B18" s="4" t="s">
        <v>422</v>
      </c>
      <c r="C18" s="4" t="s">
        <v>423</v>
      </c>
      <c r="D18" s="6" t="s">
        <v>405</v>
      </c>
      <c r="E18" s="4" t="s">
        <v>420</v>
      </c>
      <c r="F18" s="6" t="s">
        <v>377</v>
      </c>
      <c r="G18" s="6" t="s">
        <v>371</v>
      </c>
      <c r="H18" s="6" t="s">
        <v>377</v>
      </c>
    </row>
    <row r="19" spans="1:8">
      <c r="A19" s="6" t="s">
        <v>424</v>
      </c>
      <c r="B19" s="4" t="s">
        <v>425</v>
      </c>
      <c r="C19" s="4" t="s">
        <v>426</v>
      </c>
      <c r="D19" s="6" t="s">
        <v>405</v>
      </c>
      <c r="E19" s="4" t="s">
        <v>427</v>
      </c>
      <c r="F19" s="6" t="s">
        <v>377</v>
      </c>
      <c r="G19" s="6" t="s">
        <v>371</v>
      </c>
      <c r="H19" s="6" t="s">
        <v>371</v>
      </c>
    </row>
    <row r="20" spans="1:8">
      <c r="A20" s="6" t="s">
        <v>428</v>
      </c>
      <c r="B20" s="4" t="s">
        <v>429</v>
      </c>
      <c r="C20" s="4" t="s">
        <v>430</v>
      </c>
      <c r="D20" s="6" t="s">
        <v>405</v>
      </c>
      <c r="E20" s="4" t="s">
        <v>431</v>
      </c>
      <c r="F20" s="6" t="s">
        <v>377</v>
      </c>
      <c r="G20" s="6" t="s">
        <v>371</v>
      </c>
      <c r="H20" s="6" t="s">
        <v>371</v>
      </c>
    </row>
    <row r="21" spans="1:8">
      <c r="A21" s="6" t="s">
        <v>432</v>
      </c>
      <c r="B21" s="4" t="s">
        <v>433</v>
      </c>
      <c r="C21" s="4" t="s">
        <v>434</v>
      </c>
      <c r="D21" s="6" t="s">
        <v>435</v>
      </c>
      <c r="E21" s="4" t="s">
        <v>436</v>
      </c>
      <c r="F21" s="6" t="s">
        <v>371</v>
      </c>
      <c r="G21" s="6" t="s">
        <v>371</v>
      </c>
      <c r="H21" s="6" t="s">
        <v>371</v>
      </c>
    </row>
    <row r="22" spans="1:8">
      <c r="A22" s="6" t="s">
        <v>437</v>
      </c>
      <c r="B22" s="4" t="s">
        <v>438</v>
      </c>
      <c r="C22" s="4" t="s">
        <v>439</v>
      </c>
      <c r="D22" s="6" t="s">
        <v>435</v>
      </c>
      <c r="E22" s="4" t="s">
        <v>440</v>
      </c>
      <c r="F22" s="6" t="s">
        <v>377</v>
      </c>
      <c r="G22" s="6" t="s">
        <v>371</v>
      </c>
      <c r="H22" s="6" t="s">
        <v>377</v>
      </c>
    </row>
    <row r="23" spans="1:8">
      <c r="A23" s="6" t="s">
        <v>441</v>
      </c>
      <c r="B23" s="4" t="s">
        <v>442</v>
      </c>
      <c r="C23" s="4" t="s">
        <v>443</v>
      </c>
      <c r="D23" s="6" t="s">
        <v>444</v>
      </c>
      <c r="E23" s="4" t="s">
        <v>445</v>
      </c>
      <c r="F23" s="6" t="s">
        <v>377</v>
      </c>
      <c r="G23" s="6" t="s">
        <v>371</v>
      </c>
      <c r="H23" s="6" t="s">
        <v>371</v>
      </c>
    </row>
    <row r="24" spans="1:8">
      <c r="A24" s="6" t="s">
        <v>446</v>
      </c>
      <c r="B24" s="4" t="s">
        <v>447</v>
      </c>
      <c r="C24" s="4" t="s">
        <v>448</v>
      </c>
      <c r="D24" s="6" t="s">
        <v>444</v>
      </c>
      <c r="E24" s="4" t="s">
        <v>236</v>
      </c>
      <c r="F24" s="6" t="s">
        <v>377</v>
      </c>
      <c r="G24" s="6" t="s">
        <v>371</v>
      </c>
      <c r="H24" s="6" t="s">
        <v>371</v>
      </c>
    </row>
    <row r="25" spans="1:8">
      <c r="A25" s="6" t="s">
        <v>449</v>
      </c>
      <c r="B25" s="4" t="s">
        <v>450</v>
      </c>
      <c r="C25" s="4" t="s">
        <v>451</v>
      </c>
      <c r="D25" s="6" t="s">
        <v>444</v>
      </c>
      <c r="E25" s="4" t="s">
        <v>452</v>
      </c>
      <c r="F25" s="6" t="s">
        <v>377</v>
      </c>
      <c r="G25" s="6" t="s">
        <v>371</v>
      </c>
      <c r="H25" s="6" t="s">
        <v>371</v>
      </c>
    </row>
    <row r="26" spans="1:8">
      <c r="A26" s="6" t="s">
        <v>453</v>
      </c>
      <c r="B26" s="4" t="s">
        <v>454</v>
      </c>
      <c r="C26" s="4" t="s">
        <v>455</v>
      </c>
      <c r="D26" s="6" t="s">
        <v>444</v>
      </c>
      <c r="E26" s="4" t="s">
        <v>452</v>
      </c>
      <c r="F26" s="6" t="s">
        <v>371</v>
      </c>
      <c r="G26" s="6" t="s">
        <v>371</v>
      </c>
      <c r="H26" s="6" t="s">
        <v>371</v>
      </c>
    </row>
    <row r="27" spans="1:8">
      <c r="A27" s="6" t="s">
        <v>456</v>
      </c>
      <c r="B27" s="4" t="s">
        <v>457</v>
      </c>
      <c r="C27" s="4" t="s">
        <v>458</v>
      </c>
      <c r="D27" s="6" t="s">
        <v>444</v>
      </c>
      <c r="E27" s="4" t="s">
        <v>459</v>
      </c>
      <c r="F27" s="6" t="s">
        <v>377</v>
      </c>
      <c r="G27" s="6" t="s">
        <v>371</v>
      </c>
      <c r="H27" s="6" t="s">
        <v>371</v>
      </c>
    </row>
    <row r="28" spans="1:8">
      <c r="A28" s="6" t="s">
        <v>460</v>
      </c>
      <c r="B28" s="4" t="s">
        <v>461</v>
      </c>
      <c r="C28" s="4" t="s">
        <v>462</v>
      </c>
      <c r="D28" s="6" t="s">
        <v>444</v>
      </c>
      <c r="E28" s="4" t="s">
        <v>463</v>
      </c>
      <c r="F28" s="6" t="s">
        <v>377</v>
      </c>
      <c r="G28" s="6" t="s">
        <v>371</v>
      </c>
      <c r="H28" s="6" t="s">
        <v>371</v>
      </c>
    </row>
    <row r="29" spans="1:8">
      <c r="A29" s="6" t="s">
        <v>464</v>
      </c>
      <c r="B29" s="4" t="s">
        <v>465</v>
      </c>
      <c r="C29" s="4" t="s">
        <v>466</v>
      </c>
      <c r="D29" s="6" t="s">
        <v>405</v>
      </c>
      <c r="E29" s="4" t="s">
        <v>467</v>
      </c>
      <c r="F29" s="6" t="s">
        <v>377</v>
      </c>
      <c r="G29" s="6" t="s">
        <v>371</v>
      </c>
      <c r="H29" s="6" t="s">
        <v>371</v>
      </c>
    </row>
    <row r="30" spans="1:8">
      <c r="A30" s="6" t="s">
        <v>468</v>
      </c>
      <c r="B30" s="4" t="s">
        <v>469</v>
      </c>
      <c r="C30" s="4" t="s">
        <v>258</v>
      </c>
      <c r="D30" s="6" t="s">
        <v>470</v>
      </c>
      <c r="E30" s="4" t="s">
        <v>263</v>
      </c>
      <c r="F30" s="6" t="s">
        <v>377</v>
      </c>
      <c r="G30" s="6" t="s">
        <v>371</v>
      </c>
      <c r="H30" s="6" t="s">
        <v>377</v>
      </c>
    </row>
    <row r="31" spans="1:8">
      <c r="A31" s="6" t="s">
        <v>471</v>
      </c>
      <c r="B31" s="4" t="s">
        <v>472</v>
      </c>
      <c r="C31" s="4" t="s">
        <v>265</v>
      </c>
      <c r="D31" s="6" t="s">
        <v>470</v>
      </c>
      <c r="E31" s="4" t="s">
        <v>263</v>
      </c>
      <c r="F31" s="6" t="s">
        <v>377</v>
      </c>
      <c r="G31" s="6" t="s">
        <v>371</v>
      </c>
      <c r="H31" s="6" t="s">
        <v>371</v>
      </c>
    </row>
    <row r="32" spans="1:8">
      <c r="A32" s="6" t="s">
        <v>473</v>
      </c>
      <c r="B32" s="4" t="s">
        <v>474</v>
      </c>
      <c r="C32" s="4" t="s">
        <v>475</v>
      </c>
      <c r="D32" s="6" t="s">
        <v>470</v>
      </c>
      <c r="E32" s="4" t="s">
        <v>476</v>
      </c>
      <c r="F32" s="6" t="s">
        <v>377</v>
      </c>
      <c r="G32" s="6" t="s">
        <v>371</v>
      </c>
      <c r="H32" s="6" t="s">
        <v>371</v>
      </c>
    </row>
    <row r="33" spans="1:8">
      <c r="A33" s="6" t="s">
        <v>477</v>
      </c>
      <c r="B33" s="4" t="s">
        <v>478</v>
      </c>
      <c r="C33" s="4" t="s">
        <v>479</v>
      </c>
      <c r="D33" s="6" t="s">
        <v>470</v>
      </c>
      <c r="E33" s="4" t="s">
        <v>480</v>
      </c>
      <c r="F33" s="6" t="s">
        <v>377</v>
      </c>
      <c r="G33" s="6" t="s">
        <v>371</v>
      </c>
      <c r="H33" s="6" t="s">
        <v>371</v>
      </c>
    </row>
    <row r="34" spans="1:8">
      <c r="A34" s="6" t="s">
        <v>481</v>
      </c>
      <c r="B34" s="4" t="s">
        <v>482</v>
      </c>
      <c r="C34" s="4" t="s">
        <v>483</v>
      </c>
      <c r="D34" s="6" t="s">
        <v>470</v>
      </c>
      <c r="E34" s="4" t="s">
        <v>484</v>
      </c>
      <c r="F34" s="6" t="s">
        <v>371</v>
      </c>
      <c r="G34" s="6" t="s">
        <v>377</v>
      </c>
      <c r="H34" s="6" t="s">
        <v>371</v>
      </c>
    </row>
    <row r="35" spans="1:8">
      <c r="A35" s="6" t="s">
        <v>485</v>
      </c>
      <c r="B35" s="4" t="s">
        <v>486</v>
      </c>
      <c r="C35" s="4" t="s">
        <v>278</v>
      </c>
      <c r="D35" s="6" t="s">
        <v>470</v>
      </c>
      <c r="E35" s="4" t="s">
        <v>280</v>
      </c>
      <c r="F35" s="6" t="s">
        <v>377</v>
      </c>
      <c r="G35" s="6" t="s">
        <v>371</v>
      </c>
      <c r="H35" s="6" t="s">
        <v>371</v>
      </c>
    </row>
    <row r="36" spans="1:8">
      <c r="A36" s="6" t="s">
        <v>487</v>
      </c>
      <c r="B36" s="4" t="s">
        <v>488</v>
      </c>
      <c r="C36" s="4" t="s">
        <v>489</v>
      </c>
      <c r="D36" s="6" t="s">
        <v>470</v>
      </c>
      <c r="E36" s="4" t="s">
        <v>484</v>
      </c>
      <c r="F36" s="6" t="s">
        <v>377</v>
      </c>
      <c r="G36" s="6" t="s">
        <v>371</v>
      </c>
      <c r="H36" s="6" t="s">
        <v>371</v>
      </c>
    </row>
    <row r="37" spans="1:8">
      <c r="A37" s="6" t="s">
        <v>490</v>
      </c>
      <c r="B37" s="4" t="s">
        <v>491</v>
      </c>
      <c r="C37" s="4" t="s">
        <v>492</v>
      </c>
      <c r="D37" s="6" t="s">
        <v>242</v>
      </c>
      <c r="E37" s="4" t="s">
        <v>493</v>
      </c>
      <c r="F37" s="6" t="s">
        <v>377</v>
      </c>
      <c r="G37" s="6" t="s">
        <v>371</v>
      </c>
      <c r="H37" s="6" t="s">
        <v>377</v>
      </c>
    </row>
    <row r="38" spans="1:8">
      <c r="A38" s="6" t="s">
        <v>494</v>
      </c>
      <c r="B38" s="4" t="s">
        <v>495</v>
      </c>
      <c r="C38" s="4" t="s">
        <v>496</v>
      </c>
      <c r="D38" s="6" t="s">
        <v>242</v>
      </c>
      <c r="E38" s="4" t="s">
        <v>497</v>
      </c>
      <c r="F38" s="6" t="s">
        <v>371</v>
      </c>
      <c r="G38" s="6" t="s">
        <v>371</v>
      </c>
      <c r="H38" s="6" t="s">
        <v>371</v>
      </c>
    </row>
    <row r="39" spans="1:8">
      <c r="A39" s="6" t="s">
        <v>498</v>
      </c>
      <c r="B39" s="4" t="s">
        <v>499</v>
      </c>
      <c r="C39" s="4" t="s">
        <v>500</v>
      </c>
      <c r="D39" s="6" t="s">
        <v>242</v>
      </c>
      <c r="E39" s="4" t="s">
        <v>501</v>
      </c>
      <c r="F39" s="6" t="s">
        <v>371</v>
      </c>
      <c r="G39" s="6" t="s">
        <v>377</v>
      </c>
      <c r="H39" s="6" t="s">
        <v>377</v>
      </c>
    </row>
    <row r="40" spans="1:8">
      <c r="A40" s="6" t="s">
        <v>502</v>
      </c>
      <c r="B40" s="4" t="s">
        <v>503</v>
      </c>
      <c r="C40" s="4" t="s">
        <v>504</v>
      </c>
      <c r="D40" s="6" t="s">
        <v>242</v>
      </c>
      <c r="E40" s="4" t="s">
        <v>505</v>
      </c>
      <c r="F40" s="6" t="s">
        <v>371</v>
      </c>
      <c r="G40" s="6" t="s">
        <v>377</v>
      </c>
      <c r="H40" s="6" t="s">
        <v>371</v>
      </c>
    </row>
    <row r="41" spans="1:8">
      <c r="A41" s="6" t="s">
        <v>506</v>
      </c>
      <c r="B41" s="4" t="s">
        <v>507</v>
      </c>
      <c r="C41" s="4" t="s">
        <v>508</v>
      </c>
      <c r="D41" s="6" t="s">
        <v>435</v>
      </c>
      <c r="E41" s="4" t="s">
        <v>509</v>
      </c>
      <c r="F41" s="6" t="s">
        <v>371</v>
      </c>
      <c r="G41" s="6" t="s">
        <v>377</v>
      </c>
      <c r="H41" s="6" t="s">
        <v>371</v>
      </c>
    </row>
    <row r="42" spans="1:8">
      <c r="A42" s="6" t="s">
        <v>510</v>
      </c>
      <c r="B42" s="4" t="s">
        <v>511</v>
      </c>
      <c r="C42" s="4" t="s">
        <v>512</v>
      </c>
      <c r="D42" s="6" t="s">
        <v>513</v>
      </c>
      <c r="E42" s="4" t="s">
        <v>514</v>
      </c>
      <c r="F42" s="6" t="s">
        <v>371</v>
      </c>
      <c r="G42" s="6" t="s">
        <v>371</v>
      </c>
      <c r="H42" s="6" t="s">
        <v>371</v>
      </c>
    </row>
    <row r="43" spans="1:8">
      <c r="A43" s="6" t="s">
        <v>515</v>
      </c>
      <c r="B43" s="4" t="s">
        <v>516</v>
      </c>
      <c r="C43" s="4" t="s">
        <v>517</v>
      </c>
      <c r="D43" s="6" t="s">
        <v>513</v>
      </c>
      <c r="E43" s="4" t="s">
        <v>514</v>
      </c>
      <c r="F43" s="6" t="s">
        <v>377</v>
      </c>
      <c r="G43" s="6" t="s">
        <v>371</v>
      </c>
      <c r="H43" s="6" t="s">
        <v>371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s="7" t="s">
        <v>519</v>
      </c>
      <c r="B1" s="7" t="s">
        <v>520</v>
      </c>
      <c r="C1" s="7" t="s">
        <v>521</v>
      </c>
      <c r="D1" s="7" t="s">
        <v>358</v>
      </c>
      <c r="E1" s="7" t="s">
        <v>361</v>
      </c>
      <c r="F1" s="7" t="s">
        <v>522</v>
      </c>
      <c r="G1" s="7" t="s">
        <v>523</v>
      </c>
      <c r="H1" s="7" t="s">
        <v>524</v>
      </c>
      <c r="I1" s="7" t="s">
        <v>525</v>
      </c>
      <c r="J1" s="7" t="s">
        <v>526</v>
      </c>
      <c r="K1" s="7" t="s">
        <v>527</v>
      </c>
      <c r="L1" s="7" t="s">
        <v>528</v>
      </c>
      <c r="M1" s="7" t="s">
        <v>529</v>
      </c>
      <c r="N1" s="7" t="s">
        <v>530</v>
      </c>
      <c r="O1" s="7" t="s">
        <v>90</v>
      </c>
      <c r="P1" s="7" t="s">
        <v>531</v>
      </c>
    </row>
    <row r="2" spans="1:16">
      <c r="A2" s="20">
        <v>46181</v>
      </c>
      <c r="B2" s="6" t="s">
        <v>92</v>
      </c>
      <c r="C2" s="6">
        <v>1</v>
      </c>
      <c r="D2" s="6" t="s">
        <v>366</v>
      </c>
      <c r="E2" s="6">
        <f>IFERROR(INDEX('B6_Exercise_Library'!$D$4:$D$43,MATCH($D2,'B6_Exercise_Library'!$A$4:$A$43,0)),"")</f>
        <v>0</v>
      </c>
      <c r="F2" s="6" t="s">
        <v>532</v>
      </c>
      <c r="G2" s="6">
        <v>5</v>
      </c>
      <c r="H2" s="4" t="s">
        <v>47</v>
      </c>
      <c r="I2" s="6">
        <v>0</v>
      </c>
      <c r="J2" s="6">
        <v>8.5</v>
      </c>
      <c r="K2" s="6">
        <v>1</v>
      </c>
      <c r="N2" s="6">
        <v>5</v>
      </c>
      <c r="O2" s="4" t="s">
        <v>533</v>
      </c>
      <c r="P2" s="6">
        <f>IF($B2="","",$B2&amp;"_W"&amp;$C2)</f>
        <v>0</v>
      </c>
    </row>
    <row r="3" spans="1:16">
      <c r="A3" s="20">
        <v>46181</v>
      </c>
      <c r="B3" s="6" t="s">
        <v>121</v>
      </c>
      <c r="C3" s="6">
        <v>1</v>
      </c>
      <c r="D3" s="6" t="s">
        <v>372</v>
      </c>
      <c r="E3" s="6">
        <f>IFERROR(INDEX('B6_Exercise_Library'!$D$4:$D$43,MATCH($D3,'B6_Exercise_Library'!$A$4:$A$43,0)),"")</f>
        <v>0</v>
      </c>
      <c r="F3" s="6" t="s">
        <v>534</v>
      </c>
      <c r="G3" s="6">
        <v>3</v>
      </c>
      <c r="L3" s="6">
        <v>4</v>
      </c>
      <c r="O3" s="4" t="s">
        <v>535</v>
      </c>
      <c r="P3" s="6">
        <f>IF($B3="","",$B3&amp;"_W"&amp;$C3)</f>
        <v>0</v>
      </c>
    </row>
    <row r="4" spans="1:16">
      <c r="A4" s="20">
        <v>46181</v>
      </c>
      <c r="B4" s="6" t="s">
        <v>121</v>
      </c>
      <c r="C4" s="6">
        <v>1</v>
      </c>
      <c r="D4" s="6" t="s">
        <v>372</v>
      </c>
      <c r="E4" s="6">
        <f>IFERROR(INDEX('B6_Exercise_Library'!$D$4:$D$43,MATCH($D4,'B6_Exercise_Library'!$A$4:$A$43,0)),"")</f>
        <v>0</v>
      </c>
      <c r="F4" s="6" t="s">
        <v>536</v>
      </c>
      <c r="L4" s="6">
        <v>3</v>
      </c>
      <c r="O4" s="4" t="s">
        <v>537</v>
      </c>
      <c r="P4" s="6">
        <f>IF($B4="","",$B4&amp;"_W"&amp;$C4)</f>
        <v>0</v>
      </c>
    </row>
    <row r="5" spans="1:16">
      <c r="A5" s="20">
        <v>46181</v>
      </c>
      <c r="B5" s="6" t="s">
        <v>121</v>
      </c>
      <c r="C5" s="6">
        <v>1</v>
      </c>
      <c r="D5" s="6" t="s">
        <v>449</v>
      </c>
      <c r="E5" s="6">
        <f>IFERROR(INDEX('B6_Exercise_Library'!$D$4:$D$43,MATCH($D5,'B6_Exercise_Library'!$A$4:$A$43,0)),"")</f>
        <v>0</v>
      </c>
      <c r="F5" s="6" t="s">
        <v>532</v>
      </c>
      <c r="G5" s="6">
        <v>3</v>
      </c>
      <c r="H5" s="4" t="s">
        <v>538</v>
      </c>
      <c r="I5" s="6">
        <v>0</v>
      </c>
      <c r="P5" s="6">
        <f>IF($B5="","",$B5&amp;"_W"&amp;$C5)</f>
        <v>0</v>
      </c>
    </row>
    <row r="6" spans="1:16">
      <c r="A6" s="20">
        <v>46181</v>
      </c>
      <c r="B6" s="6" t="s">
        <v>121</v>
      </c>
      <c r="C6" s="6">
        <v>1</v>
      </c>
      <c r="D6" s="6" t="s">
        <v>413</v>
      </c>
      <c r="E6" s="6">
        <f>IFERROR(INDEX('B6_Exercise_Library'!$D$4:$D$43,MATCH($D6,'B6_Exercise_Library'!$A$4:$A$43,0)),"")</f>
        <v>0</v>
      </c>
      <c r="F6" s="6" t="s">
        <v>532</v>
      </c>
      <c r="G6" s="6">
        <v>2</v>
      </c>
      <c r="H6" s="4" t="s">
        <v>538</v>
      </c>
      <c r="I6" s="6">
        <v>65</v>
      </c>
      <c r="P6" s="6">
        <f>IF($B6="","",$B6&amp;"_W"&amp;$C6)</f>
        <v>0</v>
      </c>
    </row>
    <row r="7" spans="1:16">
      <c r="A7" s="20">
        <v>46181</v>
      </c>
      <c r="B7" s="6" t="s">
        <v>121</v>
      </c>
      <c r="C7" s="6">
        <v>1</v>
      </c>
      <c r="D7" s="6" t="s">
        <v>417</v>
      </c>
      <c r="E7" s="6">
        <f>IFERROR(INDEX('B6_Exercise_Library'!$D$4:$D$43,MATCH($D7,'B6_Exercise_Library'!$A$4:$A$43,0)),"")</f>
        <v>0</v>
      </c>
      <c r="F7" s="6" t="s">
        <v>532</v>
      </c>
      <c r="G7" s="6">
        <v>2</v>
      </c>
      <c r="H7" s="4" t="s">
        <v>538</v>
      </c>
      <c r="I7" s="6">
        <v>75</v>
      </c>
      <c r="O7" s="4" t="s">
        <v>539</v>
      </c>
      <c r="P7" s="6">
        <f>IF($B7="","",$B7&amp;"_W"&amp;$C7)</f>
        <v>0</v>
      </c>
    </row>
    <row r="8" spans="1:16">
      <c r="A8" s="20">
        <v>46181</v>
      </c>
      <c r="B8" s="6" t="s">
        <v>121</v>
      </c>
      <c r="C8" s="6">
        <v>1</v>
      </c>
      <c r="D8" s="6" t="s">
        <v>456</v>
      </c>
      <c r="E8" s="6">
        <f>IFERROR(INDEX('B6_Exercise_Library'!$D$4:$D$43,MATCH($D8,'B6_Exercise_Library'!$A$4:$A$43,0)),"")</f>
        <v>0</v>
      </c>
      <c r="F8" s="6" t="s">
        <v>532</v>
      </c>
      <c r="G8" s="6">
        <v>3</v>
      </c>
      <c r="H8" s="4" t="s">
        <v>540</v>
      </c>
      <c r="I8" s="6">
        <v>8</v>
      </c>
      <c r="O8" s="4" t="s">
        <v>541</v>
      </c>
      <c r="P8" s="6">
        <f>IF($B8="","",$B8&amp;"_W"&amp;$C8)</f>
        <v>0</v>
      </c>
    </row>
    <row r="9" spans="1:16">
      <c r="A9" s="20">
        <v>46181</v>
      </c>
      <c r="B9" s="6" t="s">
        <v>121</v>
      </c>
      <c r="C9" s="6">
        <v>1</v>
      </c>
      <c r="D9" s="6" t="s">
        <v>424</v>
      </c>
      <c r="E9" s="6">
        <f>IFERROR(INDEX('B6_Exercise_Library'!$D$4:$D$43,MATCH($D9,'B6_Exercise_Library'!$A$4:$A$43,0)),"")</f>
        <v>0</v>
      </c>
      <c r="F9" s="6" t="s">
        <v>532</v>
      </c>
      <c r="G9" s="6">
        <v>3</v>
      </c>
      <c r="H9" s="4" t="s">
        <v>540</v>
      </c>
      <c r="I9" s="6">
        <v>25</v>
      </c>
      <c r="O9" s="4" t="s">
        <v>542</v>
      </c>
      <c r="P9" s="6">
        <f>IF($B9="","",$B9&amp;"_W"&amp;$C9)</f>
        <v>0</v>
      </c>
    </row>
    <row r="10" spans="1:16">
      <c r="A10" s="20">
        <v>46181</v>
      </c>
      <c r="B10" s="6" t="s">
        <v>121</v>
      </c>
      <c r="C10" s="6">
        <v>1</v>
      </c>
      <c r="D10" s="6" t="s">
        <v>432</v>
      </c>
      <c r="E10" s="6">
        <f>IFERROR(INDEX('B6_Exercise_Library'!$D$4:$D$43,MATCH($D10,'B6_Exercise_Library'!$A$4:$A$43,0)),"")</f>
        <v>0</v>
      </c>
      <c r="F10" s="6" t="s">
        <v>532</v>
      </c>
      <c r="G10" s="6">
        <v>3</v>
      </c>
      <c r="H10" s="4" t="s">
        <v>540</v>
      </c>
      <c r="I10" s="6">
        <v>1</v>
      </c>
      <c r="O10" s="4" t="s">
        <v>543</v>
      </c>
      <c r="P10" s="6">
        <f>IF($B10="","",$B10&amp;"_W"&amp;$C10)</f>
        <v>0</v>
      </c>
    </row>
    <row r="11" spans="1:16">
      <c r="A11" s="20">
        <v>46181</v>
      </c>
      <c r="B11" s="6" t="s">
        <v>121</v>
      </c>
      <c r="C11" s="6">
        <v>1</v>
      </c>
      <c r="D11" s="6" t="s">
        <v>460</v>
      </c>
      <c r="E11" s="6">
        <f>IFERROR(INDEX('B6_Exercise_Library'!$D$4:$D$43,MATCH($D11,'B6_Exercise_Library'!$A$4:$A$43,0)),"")</f>
        <v>0</v>
      </c>
      <c r="F11" s="6" t="s">
        <v>532</v>
      </c>
      <c r="G11" s="6">
        <v>3</v>
      </c>
      <c r="H11" s="4" t="s">
        <v>540</v>
      </c>
      <c r="I11" s="6">
        <v>16.5</v>
      </c>
      <c r="O11" s="4" t="s">
        <v>544</v>
      </c>
      <c r="P11" s="6">
        <f>IF($B11="","",$B11&amp;"_W"&amp;$C11)</f>
        <v>0</v>
      </c>
    </row>
    <row r="12" spans="1:16">
      <c r="A12" s="20">
        <v>46181</v>
      </c>
      <c r="B12" s="6" t="s">
        <v>121</v>
      </c>
      <c r="C12" s="6">
        <v>1</v>
      </c>
      <c r="D12" s="6" t="s">
        <v>464</v>
      </c>
      <c r="E12" s="6">
        <f>IFERROR(INDEX('B6_Exercise_Library'!$D$4:$D$43,MATCH($D12,'B6_Exercise_Library'!$A$4:$A$43,0)),"")</f>
        <v>0</v>
      </c>
      <c r="F12" s="6" t="s">
        <v>532</v>
      </c>
      <c r="G12" s="6">
        <v>3</v>
      </c>
      <c r="H12" s="4" t="s">
        <v>538</v>
      </c>
      <c r="I12" s="6">
        <v>23.5</v>
      </c>
      <c r="O12" s="4" t="s">
        <v>544</v>
      </c>
      <c r="P12" s="6">
        <f>IF($B12="","",$B12&amp;"_W"&amp;$C12)</f>
        <v>0</v>
      </c>
    </row>
    <row r="13" spans="1:16">
      <c r="A13" s="20">
        <v>46183</v>
      </c>
      <c r="B13" s="6" t="s">
        <v>92</v>
      </c>
      <c r="C13" s="6">
        <v>1</v>
      </c>
      <c r="D13" s="6" t="s">
        <v>372</v>
      </c>
      <c r="E13" s="6">
        <f>IFERROR(INDEX('B6_Exercise_Library'!$D$4:$D$43,MATCH($D13,'B6_Exercise_Library'!$A$4:$A$43,0)),"")</f>
        <v>0</v>
      </c>
      <c r="F13" s="6" t="s">
        <v>534</v>
      </c>
      <c r="G13" s="6">
        <v>2</v>
      </c>
      <c r="I13" s="6">
        <v>0</v>
      </c>
      <c r="J13" s="6">
        <v>8</v>
      </c>
      <c r="K13" s="6">
        <v>1</v>
      </c>
      <c r="L13" s="6">
        <v>5</v>
      </c>
      <c r="O13" s="4" t="s">
        <v>545</v>
      </c>
      <c r="P13" s="6">
        <f>IF($B13="","",$B13&amp;"_W"&amp;$C13)</f>
        <v>0</v>
      </c>
    </row>
    <row r="14" spans="1:16">
      <c r="A14" s="20">
        <v>46183</v>
      </c>
      <c r="B14" s="6" t="s">
        <v>92</v>
      </c>
      <c r="C14" s="6">
        <v>1</v>
      </c>
      <c r="D14" s="6" t="s">
        <v>372</v>
      </c>
      <c r="E14" s="6">
        <f>IFERROR(INDEX('B6_Exercise_Library'!$D$4:$D$43,MATCH($D14,'B6_Exercise_Library'!$A$4:$A$43,0)),"")</f>
        <v>0</v>
      </c>
      <c r="F14" s="6" t="s">
        <v>536</v>
      </c>
      <c r="G14" s="6">
        <v>2</v>
      </c>
      <c r="I14" s="6">
        <v>0</v>
      </c>
      <c r="J14" s="6">
        <v>8</v>
      </c>
      <c r="K14" s="6">
        <v>1</v>
      </c>
      <c r="L14" s="6">
        <v>4</v>
      </c>
      <c r="O14" s="4" t="s">
        <v>546</v>
      </c>
      <c r="P14" s="6">
        <f>IF($B14="","",$B14&amp;"_W"&amp;$C14)</f>
        <v>0</v>
      </c>
    </row>
    <row r="15" spans="1:16">
      <c r="A15" s="20">
        <v>46183</v>
      </c>
      <c r="B15" s="6" t="s">
        <v>92</v>
      </c>
      <c r="C15" s="6">
        <v>1</v>
      </c>
      <c r="D15" s="6" t="s">
        <v>378</v>
      </c>
      <c r="E15" s="6">
        <f>IFERROR(INDEX('B6_Exercise_Library'!$D$4:$D$43,MATCH($D15,'B6_Exercise_Library'!$A$4:$A$43,0)),"")</f>
        <v>0</v>
      </c>
      <c r="F15" s="6" t="s">
        <v>532</v>
      </c>
      <c r="G15" s="6">
        <v>3</v>
      </c>
      <c r="I15" s="6">
        <v>0</v>
      </c>
      <c r="J15" s="6">
        <v>8</v>
      </c>
      <c r="K15" s="6">
        <v>1</v>
      </c>
      <c r="L15" s="6">
        <v>2</v>
      </c>
      <c r="O15" s="4" t="s">
        <v>547</v>
      </c>
      <c r="P15" s="6">
        <f>IF($B15="","",$B15&amp;"_W"&amp;$C15)</f>
        <v>0</v>
      </c>
    </row>
    <row r="16" spans="1:16">
      <c r="A16" s="20">
        <v>46183</v>
      </c>
      <c r="B16" s="6" t="s">
        <v>92</v>
      </c>
      <c r="C16" s="6">
        <v>1</v>
      </c>
      <c r="D16" s="6" t="s">
        <v>366</v>
      </c>
      <c r="E16" s="6">
        <f>IFERROR(INDEX('B6_Exercise_Library'!$D$4:$D$43,MATCH($D16,'B6_Exercise_Library'!$A$4:$A$43,0)),"")</f>
        <v>0</v>
      </c>
      <c r="F16" s="6" t="s">
        <v>532</v>
      </c>
      <c r="G16" s="6">
        <v>4</v>
      </c>
      <c r="H16" s="4" t="s">
        <v>47</v>
      </c>
      <c r="I16" s="6">
        <v>0</v>
      </c>
      <c r="J16" s="6">
        <v>9</v>
      </c>
      <c r="K16" s="6">
        <v>1</v>
      </c>
      <c r="L16" s="6">
        <v>3</v>
      </c>
      <c r="N16" s="6">
        <v>2</v>
      </c>
      <c r="O16" s="4" t="s">
        <v>548</v>
      </c>
      <c r="P16" s="6">
        <f>IF($B16="","",$B16&amp;"_W"&amp;$C16)</f>
        <v>0</v>
      </c>
    </row>
    <row r="17" spans="1:16">
      <c r="A17" s="20">
        <v>46183</v>
      </c>
      <c r="B17" s="6" t="s">
        <v>92</v>
      </c>
      <c r="C17" s="6">
        <v>1</v>
      </c>
      <c r="D17" s="6" t="s">
        <v>400</v>
      </c>
      <c r="E17" s="6">
        <f>IFERROR(INDEX('B6_Exercise_Library'!$D$4:$D$43,MATCH($D17,'B6_Exercise_Library'!$A$4:$A$43,0)),"")</f>
        <v>0</v>
      </c>
      <c r="F17" s="6" t="s">
        <v>532</v>
      </c>
      <c r="G17" s="6">
        <v>4</v>
      </c>
      <c r="I17" s="6">
        <v>0</v>
      </c>
      <c r="J17" s="6">
        <v>8</v>
      </c>
      <c r="K17" s="6">
        <v>1</v>
      </c>
      <c r="L17" s="6">
        <v>2</v>
      </c>
      <c r="M17" s="6">
        <v>8</v>
      </c>
      <c r="O17" s="4" t="s">
        <v>549</v>
      </c>
      <c r="P17" s="6">
        <f>IF($B17="","",$B17&amp;"_W"&amp;$C17)</f>
        <v>0</v>
      </c>
    </row>
    <row r="18" spans="1:16">
      <c r="A18" s="20">
        <v>46183</v>
      </c>
      <c r="B18" s="6" t="s">
        <v>92</v>
      </c>
      <c r="C18" s="6">
        <v>1</v>
      </c>
      <c r="D18" s="6" t="s">
        <v>403</v>
      </c>
      <c r="E18" s="6">
        <f>IFERROR(INDEX('B6_Exercise_Library'!$D$4:$D$43,MATCH($D18,'B6_Exercise_Library'!$A$4:$A$43,0)),"")</f>
        <v>0</v>
      </c>
      <c r="F18" s="6" t="s">
        <v>532</v>
      </c>
      <c r="G18" s="6">
        <v>4</v>
      </c>
      <c r="H18" s="4" t="s">
        <v>550</v>
      </c>
      <c r="I18" s="6">
        <v>40</v>
      </c>
      <c r="J18" s="6">
        <v>9</v>
      </c>
      <c r="K18" s="6">
        <v>1</v>
      </c>
      <c r="O18" s="4" t="s">
        <v>551</v>
      </c>
      <c r="P18" s="6">
        <f>IF($B18="","",$B18&amp;"_W"&amp;$C18)</f>
        <v>0</v>
      </c>
    </row>
    <row r="19" spans="1:16">
      <c r="A19" s="20">
        <v>46184</v>
      </c>
      <c r="B19" s="6" t="s">
        <v>100</v>
      </c>
      <c r="C19" s="6">
        <v>1</v>
      </c>
      <c r="D19" s="6" t="s">
        <v>417</v>
      </c>
      <c r="E19" s="6">
        <f>IFERROR(INDEX('B6_Exercise_Library'!$D$4:$D$43,MATCH($D19,'B6_Exercise_Library'!$A$4:$A$43,0)),"")</f>
        <v>0</v>
      </c>
      <c r="F19" s="6" t="s">
        <v>532</v>
      </c>
      <c r="G19" s="6">
        <v>3</v>
      </c>
      <c r="H19" s="4" t="s">
        <v>538</v>
      </c>
      <c r="I19" s="6">
        <v>90</v>
      </c>
      <c r="J19" s="6">
        <v>8</v>
      </c>
      <c r="O19" s="4" t="s">
        <v>552</v>
      </c>
      <c r="P19" s="6">
        <f>IF($B19="","",$B19&amp;"_W"&amp;$C19)</f>
        <v>0</v>
      </c>
    </row>
    <row r="20" spans="1:16">
      <c r="A20" s="20">
        <v>46184</v>
      </c>
      <c r="B20" s="6" t="s">
        <v>100</v>
      </c>
      <c r="C20" s="6">
        <v>1</v>
      </c>
      <c r="D20" s="6" t="s">
        <v>413</v>
      </c>
      <c r="E20" s="6">
        <f>IFERROR(INDEX('B6_Exercise_Library'!$D$4:$D$43,MATCH($D20,'B6_Exercise_Library'!$A$4:$A$43,0)),"")</f>
        <v>0</v>
      </c>
      <c r="F20" s="6" t="s">
        <v>532</v>
      </c>
      <c r="G20" s="6">
        <v>3</v>
      </c>
      <c r="H20" s="4" t="s">
        <v>538</v>
      </c>
      <c r="I20" s="6">
        <v>70</v>
      </c>
      <c r="J20" s="6">
        <v>8</v>
      </c>
      <c r="O20" s="4" t="s">
        <v>553</v>
      </c>
      <c r="P20" s="6">
        <f>IF($B20="","",$B20&amp;"_W"&amp;$C20)</f>
        <v>0</v>
      </c>
    </row>
    <row r="21" spans="1:16">
      <c r="A21" s="20">
        <v>46184</v>
      </c>
      <c r="B21" s="6" t="s">
        <v>100</v>
      </c>
      <c r="C21" s="6">
        <v>1</v>
      </c>
      <c r="D21" s="6" t="s">
        <v>424</v>
      </c>
      <c r="E21" s="6">
        <f>IFERROR(INDEX('B6_Exercise_Library'!$D$4:$D$43,MATCH($D21,'B6_Exercise_Library'!$A$4:$A$43,0)),"")</f>
        <v>0</v>
      </c>
      <c r="F21" s="6" t="s">
        <v>532</v>
      </c>
      <c r="G21" s="6">
        <v>3</v>
      </c>
      <c r="H21" s="4" t="s">
        <v>538</v>
      </c>
      <c r="I21" s="6">
        <v>35</v>
      </c>
      <c r="J21" s="6">
        <v>7</v>
      </c>
      <c r="O21" s="4" t="s">
        <v>554</v>
      </c>
      <c r="P21" s="6">
        <f>IF($B21="","",$B21&amp;"_W"&amp;$C21)</f>
        <v>0</v>
      </c>
    </row>
    <row r="22" spans="1:16">
      <c r="A22" s="20">
        <v>46184</v>
      </c>
      <c r="B22" s="6" t="s">
        <v>100</v>
      </c>
      <c r="C22" s="6">
        <v>1</v>
      </c>
      <c r="D22" s="6" t="s">
        <v>428</v>
      </c>
      <c r="E22" s="6">
        <f>IFERROR(INDEX('B6_Exercise_Library'!$D$4:$D$43,MATCH($D22,'B6_Exercise_Library'!$A$4:$A$43,0)),"")</f>
        <v>0</v>
      </c>
      <c r="F22" s="6" t="s">
        <v>532</v>
      </c>
      <c r="G22" s="6">
        <v>2</v>
      </c>
      <c r="H22" s="4" t="s">
        <v>540</v>
      </c>
      <c r="I22" s="6">
        <v>30</v>
      </c>
      <c r="J22" s="6">
        <v>7</v>
      </c>
      <c r="O22" s="4" t="s">
        <v>555</v>
      </c>
      <c r="P22" s="6">
        <f>IF($B22="","",$B22&amp;"_W"&amp;$C22)</f>
        <v>0</v>
      </c>
    </row>
    <row r="23" spans="1:16">
      <c r="A23" s="20">
        <v>46184</v>
      </c>
      <c r="B23" s="6" t="s">
        <v>100</v>
      </c>
      <c r="C23" s="6">
        <v>1</v>
      </c>
      <c r="D23" s="6" t="s">
        <v>502</v>
      </c>
      <c r="E23" s="6">
        <f>IFERROR(INDEX('B6_Exercise_Library'!$D$4:$D$43,MATCH($D23,'B6_Exercise_Library'!$A$4:$A$43,0)),"")</f>
        <v>0</v>
      </c>
      <c r="F23" s="6" t="s">
        <v>532</v>
      </c>
      <c r="G23" s="6">
        <v>3</v>
      </c>
      <c r="H23" s="4" t="s">
        <v>556</v>
      </c>
      <c r="M23" s="6">
        <v>30</v>
      </c>
      <c r="O23" s="4" t="s">
        <v>557</v>
      </c>
      <c r="P23" s="6">
        <f>IF($B23="","",$B23&amp;"_W"&amp;$C23)</f>
        <v>0</v>
      </c>
    </row>
    <row r="24" spans="1:16">
      <c r="A24" s="20">
        <v>46184</v>
      </c>
      <c r="B24" s="6" t="s">
        <v>100</v>
      </c>
      <c r="C24" s="6">
        <v>1</v>
      </c>
      <c r="D24" s="6" t="s">
        <v>372</v>
      </c>
      <c r="E24" s="6">
        <f>IFERROR(INDEX('B6_Exercise_Library'!$D$4:$D$43,MATCH($D24,'B6_Exercise_Library'!$A$4:$A$43,0)),"")</f>
        <v>0</v>
      </c>
      <c r="F24" s="6" t="s">
        <v>534</v>
      </c>
      <c r="G24" s="6">
        <v>2</v>
      </c>
      <c r="I24" s="6">
        <v>0</v>
      </c>
      <c r="J24" s="6">
        <v>6</v>
      </c>
      <c r="K24" s="6">
        <v>2</v>
      </c>
      <c r="L24" s="6">
        <v>4</v>
      </c>
      <c r="O24" s="4" t="s">
        <v>558</v>
      </c>
      <c r="P24" s="6">
        <f>IF($B24="","",$B24&amp;"_W"&amp;$C24)</f>
        <v>0</v>
      </c>
    </row>
    <row r="25" spans="1:16">
      <c r="A25" s="20">
        <v>46184</v>
      </c>
      <c r="B25" s="6" t="s">
        <v>100</v>
      </c>
      <c r="C25" s="6">
        <v>1</v>
      </c>
      <c r="D25" s="6" t="s">
        <v>372</v>
      </c>
      <c r="E25" s="6">
        <f>IFERROR(INDEX('B6_Exercise_Library'!$D$4:$D$43,MATCH($D25,'B6_Exercise_Library'!$A$4:$A$43,0)),"")</f>
        <v>0</v>
      </c>
      <c r="F25" s="6" t="s">
        <v>536</v>
      </c>
      <c r="G25" s="6">
        <v>2</v>
      </c>
      <c r="I25" s="6">
        <v>0</v>
      </c>
      <c r="J25" s="6">
        <v>6</v>
      </c>
      <c r="K25" s="6">
        <v>2</v>
      </c>
      <c r="L25" s="6">
        <v>3</v>
      </c>
      <c r="O25" s="4" t="s">
        <v>559</v>
      </c>
      <c r="P25" s="6">
        <f>IF($B25="","",$B25&amp;"_W"&amp;$C25)</f>
        <v>0</v>
      </c>
    </row>
    <row r="26" spans="1:16">
      <c r="A26" s="20">
        <v>46185</v>
      </c>
      <c r="B26" s="6" t="s">
        <v>107</v>
      </c>
      <c r="C26" s="6">
        <v>1</v>
      </c>
      <c r="D26" s="6" t="s">
        <v>381</v>
      </c>
      <c r="E26" s="6">
        <f>IFERROR(INDEX('B6_Exercise_Library'!$D$4:$D$43,MATCH($D26,'B6_Exercise_Library'!$A$4:$A$43,0)),"")</f>
        <v>0</v>
      </c>
      <c r="F26" s="6" t="s">
        <v>532</v>
      </c>
      <c r="G26" s="6">
        <v>3</v>
      </c>
      <c r="I26" s="6">
        <v>0</v>
      </c>
      <c r="K26" s="6">
        <v>1</v>
      </c>
      <c r="L26" s="6">
        <v>3</v>
      </c>
      <c r="O26" s="4" t="s">
        <v>560</v>
      </c>
      <c r="P26" s="6">
        <f>IF($B26="","",$B26&amp;"_W"&amp;$C26)</f>
        <v>0</v>
      </c>
    </row>
    <row r="27" spans="1:16">
      <c r="A27" s="20">
        <v>46185</v>
      </c>
      <c r="B27" s="6" t="s">
        <v>107</v>
      </c>
      <c r="C27" s="6">
        <v>1</v>
      </c>
      <c r="D27" s="6" t="s">
        <v>468</v>
      </c>
      <c r="E27" s="6">
        <f>IFERROR(INDEX('B6_Exercise_Library'!$D$4:$D$43,MATCH($D27,'B6_Exercise_Library'!$A$4:$A$43,0)),"")</f>
        <v>0</v>
      </c>
      <c r="F27" s="6" t="s">
        <v>532</v>
      </c>
      <c r="G27" s="6">
        <v>3</v>
      </c>
      <c r="H27" s="4" t="s">
        <v>561</v>
      </c>
      <c r="I27" s="6">
        <v>40</v>
      </c>
      <c r="J27" s="6">
        <v>8</v>
      </c>
      <c r="O27" s="4" t="s">
        <v>562</v>
      </c>
      <c r="P27" s="6">
        <f>IF($B27="","",$B27&amp;"_W"&amp;$C27)</f>
        <v>0</v>
      </c>
    </row>
    <row r="28" spans="1:16">
      <c r="A28" s="20">
        <v>46185</v>
      </c>
      <c r="B28" s="6" t="s">
        <v>107</v>
      </c>
      <c r="C28" s="6">
        <v>1</v>
      </c>
      <c r="D28" s="6" t="s">
        <v>471</v>
      </c>
      <c r="E28" s="6">
        <f>IFERROR(INDEX('B6_Exercise_Library'!$D$4:$D$43,MATCH($D28,'B6_Exercise_Library'!$A$4:$A$43,0)),"")</f>
        <v>0</v>
      </c>
      <c r="F28" s="6" t="s">
        <v>532</v>
      </c>
      <c r="G28" s="6">
        <v>3</v>
      </c>
      <c r="H28" s="4" t="s">
        <v>538</v>
      </c>
      <c r="I28" s="6">
        <v>60</v>
      </c>
      <c r="J28" s="6">
        <v>7</v>
      </c>
      <c r="P28" s="6">
        <f>IF($B28="","",$B28&amp;"_W"&amp;$C28)</f>
        <v>0</v>
      </c>
    </row>
    <row r="29" spans="1:16">
      <c r="A29" s="20">
        <v>46185</v>
      </c>
      <c r="B29" s="6" t="s">
        <v>107</v>
      </c>
      <c r="C29" s="6">
        <v>1</v>
      </c>
      <c r="D29" s="6" t="s">
        <v>473</v>
      </c>
      <c r="E29" s="6">
        <f>IFERROR(INDEX('B6_Exercise_Library'!$D$4:$D$43,MATCH($D29,'B6_Exercise_Library'!$A$4:$A$43,0)),"")</f>
        <v>0</v>
      </c>
      <c r="F29" s="6" t="s">
        <v>532</v>
      </c>
      <c r="G29" s="6">
        <v>3</v>
      </c>
      <c r="H29" s="4" t="s">
        <v>538</v>
      </c>
      <c r="I29" s="6">
        <v>50</v>
      </c>
      <c r="J29" s="6">
        <v>7</v>
      </c>
      <c r="P29" s="6">
        <f>IF($B29="","",$B29&amp;"_W"&amp;$C29)</f>
        <v>0</v>
      </c>
    </row>
    <row r="30" spans="1:16">
      <c r="A30" s="20">
        <v>46185</v>
      </c>
      <c r="B30" s="6" t="s">
        <v>107</v>
      </c>
      <c r="C30" s="6">
        <v>1</v>
      </c>
      <c r="D30" s="6" t="s">
        <v>485</v>
      </c>
      <c r="E30" s="6">
        <f>IFERROR(INDEX('B6_Exercise_Library'!$D$4:$D$43,MATCH($D30,'B6_Exercise_Library'!$A$4:$A$43,0)),"")</f>
        <v>0</v>
      </c>
      <c r="F30" s="6" t="s">
        <v>532</v>
      </c>
      <c r="G30" s="6">
        <v>3</v>
      </c>
      <c r="H30" s="4" t="s">
        <v>563</v>
      </c>
      <c r="I30" s="6">
        <v>70</v>
      </c>
      <c r="J30" s="6">
        <v>7</v>
      </c>
      <c r="O30" s="4" t="s">
        <v>564</v>
      </c>
      <c r="P30" s="6">
        <f>IF($B30="","",$B30&amp;"_W"&amp;$C30)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565</v>
      </c>
      <c r="B1" s="1"/>
      <c r="C1" s="1"/>
      <c r="D1" s="1"/>
      <c r="E1" s="1"/>
      <c r="F1" s="1"/>
      <c r="G1" s="1"/>
    </row>
    <row r="3" spans="1:7">
      <c r="A3" s="5" t="s">
        <v>566</v>
      </c>
      <c r="B3" s="5"/>
      <c r="C3" s="5"/>
    </row>
    <row r="4" spans="1:7">
      <c r="A4" s="9" t="s">
        <v>567</v>
      </c>
      <c r="B4" s="11">
        <v>80.8</v>
      </c>
      <c r="C4" s="4" t="s">
        <v>575</v>
      </c>
      <c r="D4" s="4"/>
      <c r="E4" s="4"/>
      <c r="F4" s="4"/>
      <c r="G4" s="4"/>
    </row>
    <row r="5" spans="1:7">
      <c r="A5" s="9" t="s">
        <v>568</v>
      </c>
      <c r="B5" s="6" t="s">
        <v>569</v>
      </c>
    </row>
    <row r="6" spans="1:7">
      <c r="A6" s="9" t="s">
        <v>570</v>
      </c>
      <c r="B6" s="11">
        <v>2.2</v>
      </c>
      <c r="C6" s="4" t="s">
        <v>576</v>
      </c>
      <c r="D6" s="4"/>
      <c r="E6" s="4"/>
      <c r="F6" s="4"/>
      <c r="G6" s="4"/>
    </row>
    <row r="7" spans="1:7">
      <c r="A7" s="9" t="s">
        <v>571</v>
      </c>
      <c r="B7" s="11">
        <v>0.9</v>
      </c>
    </row>
    <row r="8" spans="1:7">
      <c r="A8" s="9" t="s">
        <v>572</v>
      </c>
      <c r="B8" s="10">
        <v>2700</v>
      </c>
    </row>
    <row r="9" spans="1:7">
      <c r="A9" s="9" t="s">
        <v>573</v>
      </c>
      <c r="B9" s="10">
        <f>ROUND(BW*B6,0)</f>
        <v>0</v>
      </c>
    </row>
    <row r="10" spans="1:7">
      <c r="A10" s="9" t="s">
        <v>574</v>
      </c>
      <c r="B10" s="10">
        <f>ROUND(BW*B7,0)</f>
        <v>0</v>
      </c>
    </row>
    <row r="12" spans="1:7">
      <c r="A12" s="5" t="s">
        <v>577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578</v>
      </c>
      <c r="C13" s="7" t="s">
        <v>579</v>
      </c>
      <c r="D13" s="7" t="s">
        <v>580</v>
      </c>
      <c r="E13" s="7" t="s">
        <v>581</v>
      </c>
      <c r="F13" s="7" t="s">
        <v>582</v>
      </c>
      <c r="G13" s="7" t="s">
        <v>583</v>
      </c>
    </row>
    <row r="14" spans="1:7">
      <c r="A14" s="9" t="s">
        <v>584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585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586</v>
      </c>
    </row>
    <row r="16" spans="1:7">
      <c r="A16" s="9" t="s">
        <v>587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588</v>
      </c>
    </row>
    <row r="17" spans="1:7">
      <c r="A17" s="9" t="s">
        <v>589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590</v>
      </c>
    </row>
    <row r="18" spans="1:7">
      <c r="A18" s="9" t="s">
        <v>591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592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593</v>
      </c>
    </row>
    <row r="21" spans="1:7">
      <c r="A21" s="5" t="s">
        <v>594</v>
      </c>
      <c r="B21" s="5"/>
      <c r="C21" s="5"/>
      <c r="D21" s="5"/>
      <c r="E21" s="5"/>
      <c r="F21" s="5"/>
      <c r="G21" s="5"/>
    </row>
    <row r="22" spans="1:7">
      <c r="A22" s="4" t="s">
        <v>595</v>
      </c>
      <c r="B22" s="4"/>
      <c r="C22" s="4"/>
      <c r="D22" s="4"/>
      <c r="E22" s="4"/>
      <c r="F22" s="4"/>
      <c r="G22" s="4"/>
    </row>
    <row r="23" spans="1:7">
      <c r="A23" s="4" t="s">
        <v>596</v>
      </c>
      <c r="B23" s="4"/>
      <c r="C23" s="4"/>
      <c r="D23" s="4"/>
      <c r="E23" s="4"/>
      <c r="F23" s="4"/>
      <c r="G23" s="4"/>
    </row>
    <row r="24" spans="1:7">
      <c r="A24" s="4" t="s">
        <v>597</v>
      </c>
      <c r="B24" s="4"/>
      <c r="C24" s="4"/>
      <c r="D24" s="4"/>
      <c r="E24" s="4"/>
      <c r="F24" s="4"/>
      <c r="G24" s="4"/>
    </row>
    <row r="25" spans="1:7">
      <c r="A25" s="4" t="s">
        <v>598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599</v>
      </c>
      <c r="B1" s="1"/>
      <c r="C1" s="1"/>
      <c r="D1" s="1"/>
      <c r="E1" s="1"/>
    </row>
    <row r="3" spans="1:5">
      <c r="A3" s="5" t="s">
        <v>600</v>
      </c>
      <c r="B3" s="5"/>
      <c r="C3" s="5"/>
      <c r="D3" s="5"/>
      <c r="E3" s="5"/>
    </row>
    <row r="4" spans="1:5">
      <c r="A4" s="7" t="s">
        <v>601</v>
      </c>
      <c r="B4" s="7" t="s">
        <v>602</v>
      </c>
      <c r="C4" s="7" t="s">
        <v>603</v>
      </c>
      <c r="D4" s="7" t="s">
        <v>604</v>
      </c>
      <c r="E4" s="7" t="s">
        <v>605</v>
      </c>
    </row>
    <row r="5" spans="1:5">
      <c r="A5" s="9" t="s">
        <v>606</v>
      </c>
      <c r="B5" s="22" t="s">
        <v>607</v>
      </c>
      <c r="C5" s="23" t="s">
        <v>608</v>
      </c>
      <c r="D5" s="24" t="s">
        <v>609</v>
      </c>
      <c r="E5" s="25" t="s">
        <v>610</v>
      </c>
    </row>
    <row r="6" spans="1:5">
      <c r="A6" s="9" t="s">
        <v>611</v>
      </c>
      <c r="B6" s="22" t="s">
        <v>612</v>
      </c>
      <c r="C6" s="23" t="s">
        <v>613</v>
      </c>
      <c r="D6" s="24" t="s">
        <v>614</v>
      </c>
      <c r="E6" s="25" t="s">
        <v>615</v>
      </c>
    </row>
    <row r="7" spans="1:5">
      <c r="A7" s="9" t="s">
        <v>616</v>
      </c>
      <c r="B7" s="22" t="s">
        <v>617</v>
      </c>
      <c r="C7" s="23" t="s">
        <v>618</v>
      </c>
      <c r="D7" s="24" t="s">
        <v>619</v>
      </c>
      <c r="E7" s="25" t="s">
        <v>620</v>
      </c>
    </row>
    <row r="8" spans="1:5">
      <c r="A8" s="9" t="s">
        <v>621</v>
      </c>
      <c r="B8" s="22" t="s">
        <v>622</v>
      </c>
      <c r="C8" s="23" t="s">
        <v>623</v>
      </c>
      <c r="D8" s="24" t="s">
        <v>624</v>
      </c>
      <c r="E8" s="25" t="s">
        <v>625</v>
      </c>
    </row>
    <row r="9" spans="1:5">
      <c r="A9" s="9" t="s">
        <v>626</v>
      </c>
      <c r="B9" s="22" t="s">
        <v>627</v>
      </c>
      <c r="C9" s="23" t="s">
        <v>628</v>
      </c>
      <c r="D9" s="24" t="s">
        <v>629</v>
      </c>
      <c r="E9" s="25" t="s">
        <v>630</v>
      </c>
    </row>
    <row r="11" spans="1:5">
      <c r="A11" s="5" t="s">
        <v>631</v>
      </c>
      <c r="B11" s="5"/>
      <c r="C11" s="5"/>
      <c r="D11" s="5"/>
      <c r="E11" s="5"/>
    </row>
    <row r="12" spans="1:5">
      <c r="A12" s="4" t="s">
        <v>632</v>
      </c>
      <c r="B12" s="4"/>
      <c r="C12" s="4"/>
      <c r="D12" s="4"/>
      <c r="E12" s="4"/>
    </row>
    <row r="13" spans="1:5">
      <c r="A13" s="4" t="s">
        <v>633</v>
      </c>
      <c r="B13" s="4"/>
      <c r="C13" s="4"/>
      <c r="D13" s="4"/>
      <c r="E13" s="4"/>
    </row>
    <row r="14" spans="1:5">
      <c r="A14" s="4" t="s">
        <v>634</v>
      </c>
      <c r="B14" s="4"/>
      <c r="C14" s="4"/>
      <c r="D14" s="4"/>
      <c r="E14" s="4"/>
    </row>
    <row r="15" spans="1:5">
      <c r="A15" s="4" t="s">
        <v>635</v>
      </c>
      <c r="B15" s="4"/>
      <c r="C15" s="4"/>
      <c r="D15" s="4"/>
      <c r="E15" s="4"/>
    </row>
    <row r="16" spans="1:5">
      <c r="A16" s="4" t="s">
        <v>636</v>
      </c>
      <c r="B16" s="4"/>
      <c r="C16" s="4"/>
      <c r="D16" s="4"/>
      <c r="E16" s="4"/>
    </row>
    <row r="17" spans="1:5">
      <c r="A17" s="4" t="s">
        <v>637</v>
      </c>
      <c r="B17" s="4"/>
      <c r="C17" s="4"/>
      <c r="D17" s="4"/>
      <c r="E17" s="4"/>
    </row>
    <row r="19" spans="1:5">
      <c r="A19" s="5" t="s">
        <v>638</v>
      </c>
      <c r="B19" s="5"/>
      <c r="C19" s="5"/>
      <c r="D19" s="5"/>
      <c r="E19" s="5"/>
    </row>
    <row r="20" spans="1:5">
      <c r="A20" s="7" t="s">
        <v>639</v>
      </c>
      <c r="B20" s="7" t="s">
        <v>640</v>
      </c>
      <c r="C20" s="7" t="s">
        <v>641</v>
      </c>
      <c r="D20" s="7" t="s">
        <v>642</v>
      </c>
      <c r="E20" s="7" t="s">
        <v>643</v>
      </c>
    </row>
    <row r="21" spans="1:5">
      <c r="A21" s="13" t="s">
        <v>65</v>
      </c>
      <c r="B21" s="4" t="s">
        <v>644</v>
      </c>
      <c r="C21" s="4" t="s">
        <v>645</v>
      </c>
      <c r="D21" s="4" t="s">
        <v>646</v>
      </c>
      <c r="E21" s="4" t="s">
        <v>647</v>
      </c>
    </row>
    <row r="22" spans="1:5">
      <c r="A22" s="13" t="s">
        <v>47</v>
      </c>
      <c r="B22" s="4" t="s">
        <v>648</v>
      </c>
      <c r="C22" s="4" t="s">
        <v>649</v>
      </c>
      <c r="D22" s="4" t="s">
        <v>650</v>
      </c>
      <c r="E22" s="4" t="s">
        <v>651</v>
      </c>
    </row>
    <row r="23" spans="1:5">
      <c r="A23" s="13" t="s">
        <v>33</v>
      </c>
      <c r="B23" s="4" t="s">
        <v>652</v>
      </c>
      <c r="C23" s="4" t="s">
        <v>653</v>
      </c>
      <c r="D23" s="4" t="s">
        <v>654</v>
      </c>
      <c r="E23" s="4" t="s">
        <v>655</v>
      </c>
    </row>
    <row r="24" spans="1:5">
      <c r="A24" s="13" t="s">
        <v>32</v>
      </c>
      <c r="B24" s="4" t="s">
        <v>656</v>
      </c>
      <c r="C24" s="4" t="s">
        <v>657</v>
      </c>
      <c r="D24" s="4" t="s">
        <v>658</v>
      </c>
      <c r="E24" s="4" t="s">
        <v>659</v>
      </c>
    </row>
    <row r="25" spans="1:5">
      <c r="A25" s="26" t="s">
        <v>660</v>
      </c>
      <c r="B25" s="26"/>
      <c r="C25" s="26"/>
      <c r="D25" s="26"/>
      <c r="E25" s="26"/>
    </row>
    <row r="27" spans="1:5">
      <c r="A27" s="5" t="s">
        <v>661</v>
      </c>
      <c r="B27" s="5"/>
      <c r="C27" s="5"/>
      <c r="D27" s="5"/>
      <c r="E27" s="5"/>
    </row>
    <row r="28" spans="1:5">
      <c r="A28" s="4" t="s">
        <v>662</v>
      </c>
      <c r="B28" s="4"/>
      <c r="C28" s="4"/>
      <c r="D28" s="4"/>
      <c r="E28" s="4"/>
    </row>
    <row r="29" spans="1:5">
      <c r="A29" s="4" t="s">
        <v>663</v>
      </c>
      <c r="B29" s="4"/>
      <c r="C29" s="4"/>
      <c r="D29" s="4"/>
      <c r="E29" s="4"/>
    </row>
    <row r="30" spans="1:5">
      <c r="A30" s="4" t="s">
        <v>664</v>
      </c>
      <c r="B30" s="4"/>
      <c r="C30" s="4"/>
      <c r="D30" s="4"/>
      <c r="E30" s="4"/>
    </row>
    <row r="31" spans="1:5">
      <c r="A31" s="4" t="s">
        <v>665</v>
      </c>
      <c r="B31" s="4"/>
      <c r="C31" s="4"/>
      <c r="D31" s="4"/>
      <c r="E31" s="4"/>
    </row>
    <row r="32" spans="1:5">
      <c r="A32" s="4" t="s">
        <v>666</v>
      </c>
      <c r="B32" s="4"/>
      <c r="C32" s="4"/>
      <c r="D32" s="4"/>
      <c r="E32" s="4"/>
    </row>
    <row r="34" spans="1:5">
      <c r="A34" s="5" t="s">
        <v>667</v>
      </c>
      <c r="B34" s="5"/>
      <c r="C34" s="5"/>
      <c r="D34" s="5"/>
      <c r="E34" s="5"/>
    </row>
    <row r="35" spans="1:5">
      <c r="A35" s="7" t="s">
        <v>668</v>
      </c>
      <c r="B35" s="7" t="s">
        <v>669</v>
      </c>
      <c r="C35" s="7" t="s">
        <v>670</v>
      </c>
      <c r="D35" s="7"/>
      <c r="E35" s="7"/>
    </row>
    <row r="36" spans="1:5">
      <c r="A36" s="4" t="s">
        <v>671</v>
      </c>
      <c r="B36" s="27" t="s">
        <v>672</v>
      </c>
      <c r="C36" s="4" t="s">
        <v>673</v>
      </c>
      <c r="D36" s="4"/>
      <c r="E36" s="4"/>
    </row>
    <row r="37" spans="1:5">
      <c r="A37" s="4" t="s">
        <v>674</v>
      </c>
      <c r="B37" s="27" t="s">
        <v>675</v>
      </c>
      <c r="C37" s="4" t="s">
        <v>676</v>
      </c>
      <c r="D37" s="4"/>
      <c r="E37" s="4"/>
    </row>
    <row r="38" spans="1:5">
      <c r="A38" s="4" t="s">
        <v>677</v>
      </c>
      <c r="B38" s="27" t="s">
        <v>678</v>
      </c>
      <c r="C38" s="4" t="s">
        <v>679</v>
      </c>
      <c r="D38" s="4"/>
      <c r="E38" s="4"/>
    </row>
    <row r="39" spans="1:5">
      <c r="A39" s="4" t="s">
        <v>680</v>
      </c>
      <c r="B39" s="27" t="s">
        <v>681</v>
      </c>
      <c r="C39" s="4" t="s">
        <v>682</v>
      </c>
      <c r="D39" s="4"/>
      <c r="E39" s="4"/>
    </row>
    <row r="40" spans="1:5">
      <c r="A40" s="4" t="s">
        <v>680</v>
      </c>
      <c r="B40" s="27" t="s">
        <v>683</v>
      </c>
      <c r="C40" s="4" t="s">
        <v>684</v>
      </c>
      <c r="D40" s="4"/>
      <c r="E40" s="4"/>
    </row>
    <row r="41" spans="1:5">
      <c r="A41" s="4" t="s">
        <v>685</v>
      </c>
      <c r="B41" s="27" t="s">
        <v>686</v>
      </c>
      <c r="C41" s="4" t="s">
        <v>687</v>
      </c>
      <c r="D41" s="4"/>
      <c r="E41" s="4"/>
    </row>
    <row r="42" spans="1:5">
      <c r="A42" s="4" t="s">
        <v>688</v>
      </c>
      <c r="B42" s="27" t="s">
        <v>689</v>
      </c>
      <c r="C42" s="4" t="s">
        <v>690</v>
      </c>
      <c r="D42" s="4"/>
      <c r="E42" s="4"/>
    </row>
  </sheetData>
  <mergeCells count="25">
    <mergeCell ref="A1:E1"/>
    <mergeCell ref="A3:E3"/>
    <mergeCell ref="A11:E11"/>
    <mergeCell ref="A12:E12"/>
    <mergeCell ref="A13:E13"/>
    <mergeCell ref="A14:E14"/>
    <mergeCell ref="A15:E15"/>
    <mergeCell ref="A16:E16"/>
    <mergeCell ref="A17:E17"/>
    <mergeCell ref="A19:E19"/>
    <mergeCell ref="A25:E25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691</v>
      </c>
      <c r="B1" s="1"/>
      <c r="C1" s="1"/>
      <c r="D1" s="1"/>
      <c r="E1" s="1"/>
      <c r="F1" s="1"/>
    </row>
    <row r="2" spans="1:6">
      <c r="A2" s="12" t="s">
        <v>692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693</v>
      </c>
    </row>
    <row r="4" spans="1:6">
      <c r="A4" s="9" t="s">
        <v>694</v>
      </c>
      <c r="B4" s="11">
        <f>SUMIFS('B6_Training_Log'!$G$2:$G$1000,'B6_Training_Log'!$E$2:$E$1000,"Skill90",'B6_Training_Log'!$C$2:$C$1000,1)+SUMIFS('B6_Training_Log'!$G$2:$G$1000,'B6_Training_Log'!$E$2:$E$1000,"Planche",'B6_Training_Log'!$C$2:$C$1000,1)+SUMIFS('B6_Training_Log'!$G$2:$G$1000,'B6_Training_Log'!$E$2:$E$1000,"Push",'B6_Training_Log'!$C$2:$C$1000,1)</f>
        <v>0</v>
      </c>
      <c r="C4" s="11">
        <f>SUMIFS('B6_Training_Log'!$G$2:$G$1000,'B6_Training_Log'!$E$2:$E$1000,"Skill90",'B6_Training_Log'!$C$2:$C$1000,2)+SUMIFS('B6_Training_Log'!$G$2:$G$1000,'B6_Training_Log'!$E$2:$E$1000,"Planche",'B6_Training_Log'!$C$2:$C$1000,2)+SUMIFS('B6_Training_Log'!$G$2:$G$1000,'B6_Training_Log'!$E$2:$E$1000,"Push",'B6_Training_Log'!$C$2:$C$1000,2)</f>
        <v>0</v>
      </c>
      <c r="D4" s="11">
        <f>SUMIFS('B6_Training_Log'!$G$2:$G$1000,'B6_Training_Log'!$E$2:$E$1000,"Skill90",'B6_Training_Log'!$C$2:$C$1000,3)+SUMIFS('B6_Training_Log'!$G$2:$G$1000,'B6_Training_Log'!$E$2:$E$1000,"Planche",'B6_Training_Log'!$C$2:$C$1000,3)+SUMIFS('B6_Training_Log'!$G$2:$G$1000,'B6_Training_Log'!$E$2:$E$1000,"Push",'B6_Training_Log'!$C$2:$C$1000,3)</f>
        <v>0</v>
      </c>
      <c r="E4" s="11">
        <f>SUMIFS('B6_Training_Log'!$G$2:$G$1000,'B6_Training_Log'!$E$2:$E$1000,"Skill90",'B6_Training_Log'!$C$2:$C$1000,4)+SUMIFS('B6_Training_Log'!$G$2:$G$1000,'B6_Training_Log'!$E$2:$E$1000,"Planche",'B6_Training_Log'!$C$2:$C$1000,4)+SUMIFS('B6_Training_Log'!$G$2:$G$1000,'B6_Training_Log'!$E$2:$E$1000,"Push",'B6_Training_Log'!$C$2:$C$1000,4)</f>
        <v>0</v>
      </c>
      <c r="F4" s="28">
        <f>SUMIFS('B6_Training_Log'!$G$2:$G$1000,'B6_Training_Log'!$E$2:$E$1000,"Skill90")+SUMIFS('B6_Training_Log'!$G$2:$G$1000,'B6_Training_Log'!$E$2:$E$1000,"Planche")+SUMIFS('B6_Training_Log'!$G$2:$G$1000,'B6_Training_Log'!$E$2:$E$1000,"Push")</f>
        <v>0</v>
      </c>
    </row>
    <row r="5" spans="1:6">
      <c r="A5" s="9" t="s">
        <v>695</v>
      </c>
      <c r="B5" s="11">
        <f>SUMIFS('B6_Training_Log'!$G$2:$G$1000,'B6_Training_Log'!$E$2:$E$1000,"Pull",'B6_Training_Log'!$C$2:$C$1000,1)</f>
        <v>0</v>
      </c>
      <c r="C5" s="11">
        <f>SUMIFS('B6_Training_Log'!$G$2:$G$1000,'B6_Training_Log'!$E$2:$E$1000,"Pull",'B6_Training_Log'!$C$2:$C$1000,2)</f>
        <v>0</v>
      </c>
      <c r="D5" s="11">
        <f>SUMIFS('B6_Training_Log'!$G$2:$G$1000,'B6_Training_Log'!$E$2:$E$1000,"Pull",'B6_Training_Log'!$C$2:$C$1000,3)</f>
        <v>0</v>
      </c>
      <c r="E5" s="11">
        <f>SUMIFS('B6_Training_Log'!$G$2:$G$1000,'B6_Training_Log'!$E$2:$E$1000,"Pull",'B6_Training_Log'!$C$2:$C$1000,4)</f>
        <v>0</v>
      </c>
      <c r="F5" s="28">
        <f>SUMIFS('B6_Training_Log'!$G$2:$G$1000,'B6_Training_Log'!$E$2:$E$1000,"Pull")</f>
        <v>0</v>
      </c>
    </row>
    <row r="6" spans="1:6">
      <c r="A6" s="9" t="s">
        <v>696</v>
      </c>
      <c r="B6" s="11">
        <f>SUMIFS('B6_Training_Log'!$G$2:$G$1000,'B6_Training_Log'!$E$2:$E$1000,"Legs",'B6_Training_Log'!$C$2:$C$1000,1)</f>
        <v>0</v>
      </c>
      <c r="C6" s="11">
        <f>SUMIFS('B6_Training_Log'!$G$2:$G$1000,'B6_Training_Log'!$E$2:$E$1000,"Legs",'B6_Training_Log'!$C$2:$C$1000,2)</f>
        <v>0</v>
      </c>
      <c r="D6" s="11">
        <f>SUMIFS('B6_Training_Log'!$G$2:$G$1000,'B6_Training_Log'!$E$2:$E$1000,"Legs",'B6_Training_Log'!$C$2:$C$1000,3)</f>
        <v>0</v>
      </c>
      <c r="E6" s="11">
        <f>SUMIFS('B6_Training_Log'!$G$2:$G$1000,'B6_Training_Log'!$E$2:$E$1000,"Legs",'B6_Training_Log'!$C$2:$C$1000,4)</f>
        <v>0</v>
      </c>
      <c r="F6" s="28">
        <f>SUMIFS('B6_Training_Log'!$G$2:$G$1000,'B6_Training_Log'!$E$2:$E$1000,"Legs")</f>
        <v>0</v>
      </c>
    </row>
    <row r="7" spans="1:6">
      <c r="A7" s="9" t="s">
        <v>697</v>
      </c>
      <c r="B7" s="10">
        <f>COUNTIFS('B6_Training_Log'!$D$2:$D$1000,"90",'B6_Training_Log'!$C$2:$C$1000,1)</f>
        <v>0</v>
      </c>
      <c r="C7" s="10">
        <f>COUNTIFS('B6_Training_Log'!$D$2:$D$1000,"90",'B6_Training_Log'!$C$2:$C$1000,2)</f>
        <v>0</v>
      </c>
      <c r="D7" s="10">
        <f>COUNTIFS('B6_Training_Log'!$D$2:$D$1000,"90",'B6_Training_Log'!$C$2:$C$1000,3)</f>
        <v>0</v>
      </c>
      <c r="E7" s="10">
        <f>COUNTIFS('B6_Training_Log'!$D$2:$D$1000,"90",'B6_Training_Log'!$C$2:$C$1000,4)</f>
        <v>0</v>
      </c>
      <c r="F7" s="29">
        <f>COUNTIF('B6_Training_Log'!$D$2:$D$1000,"90")</f>
        <v>0</v>
      </c>
    </row>
    <row r="8" spans="1:6">
      <c r="A8" s="9" t="s">
        <v>698</v>
      </c>
      <c r="B8" s="10">
        <f>SUMIFS('B6_Training_Log'!$N$2:$N$1000,'B6_Training_Log'!$D$2:$D$1000,"90",'B6_Training_Log'!$C$2:$C$1000,1)</f>
        <v>0</v>
      </c>
      <c r="C8" s="10">
        <f>SUMIFS('B6_Training_Log'!$N$2:$N$1000,'B6_Training_Log'!$D$2:$D$1000,"90",'B6_Training_Log'!$C$2:$C$1000,2)</f>
        <v>0</v>
      </c>
      <c r="D8" s="10">
        <f>SUMIFS('B6_Training_Log'!$N$2:$N$1000,'B6_Training_Log'!$D$2:$D$1000,"90",'B6_Training_Log'!$C$2:$C$1000,3)</f>
        <v>0</v>
      </c>
      <c r="E8" s="10">
        <f>SUMIFS('B6_Training_Log'!$N$2:$N$1000,'B6_Training_Log'!$D$2:$D$1000,"90",'B6_Training_Log'!$C$2:$C$1000,4)</f>
        <v>0</v>
      </c>
      <c r="F8" s="29">
        <f>SUMIFS('B6_Training_Log'!$N$2:$N$1000,'B6_Training_Log'!$D$2:$D$1000,"90")</f>
        <v>0</v>
      </c>
    </row>
    <row r="9" spans="1:6">
      <c r="A9" s="9" t="s">
        <v>699</v>
      </c>
      <c r="B9" s="10">
        <f>COUNTIFS('B6_Training_Log'!$E$2:$E$1000,"SkillOAHS",'B6_Training_Log'!$C$2:$C$1000,1)</f>
        <v>0</v>
      </c>
      <c r="C9" s="10">
        <f>COUNTIFS('B6_Training_Log'!$E$2:$E$1000,"SkillOAHS",'B6_Training_Log'!$C$2:$C$1000,2)</f>
        <v>0</v>
      </c>
      <c r="D9" s="10">
        <f>COUNTIFS('B6_Training_Log'!$E$2:$E$1000,"SkillOAHS",'B6_Training_Log'!$C$2:$C$1000,3)</f>
        <v>0</v>
      </c>
      <c r="E9" s="10">
        <f>COUNTIFS('B6_Training_Log'!$E$2:$E$1000,"SkillOAHS",'B6_Training_Log'!$C$2:$C$1000,4)</f>
        <v>0</v>
      </c>
      <c r="F9" s="29">
        <f>COUNTIF('B6_Training_Log'!$E$2:$E$1000,"SkillOAHS")</f>
        <v>0</v>
      </c>
    </row>
    <row r="10" spans="1:6">
      <c r="A10" s="9" t="s">
        <v>700</v>
      </c>
      <c r="B10" s="10">
        <f>COUNTIFS('B6_Training_Log'!$E$2:$E$1000,"Planche",'B6_Training_Log'!$C$2:$C$1000,1)</f>
        <v>0</v>
      </c>
      <c r="C10" s="10">
        <f>COUNTIFS('B6_Training_Log'!$E$2:$E$1000,"Planche",'B6_Training_Log'!$C$2:$C$1000,2)</f>
        <v>0</v>
      </c>
      <c r="D10" s="10">
        <f>COUNTIFS('B6_Training_Log'!$E$2:$E$1000,"Planche",'B6_Training_Log'!$C$2:$C$1000,3)</f>
        <v>0</v>
      </c>
      <c r="E10" s="10">
        <f>COUNTIFS('B6_Training_Log'!$E$2:$E$1000,"Planche",'B6_Training_Log'!$C$2:$C$1000,4)</f>
        <v>0</v>
      </c>
      <c r="F10" s="29">
        <f>COUNTIF('B6_Training_Log'!$E$2:$E$1000,"Planche")</f>
        <v>0</v>
      </c>
    </row>
    <row r="11" spans="1:6">
      <c r="A11" s="9" t="s">
        <v>70</v>
      </c>
      <c r="B11" s="10">
        <f>MAXIFS('B6_Training_Log'!$M$2:$M$1000,'B6_Training_Log'!$E$2:$E$1000,"SkillOAHS",'B6_Training_Log'!$F$2:$F$1000,"L",'B6_Training_Log'!$C$2:$C$1000,1)</f>
        <v>0</v>
      </c>
      <c r="C11" s="10">
        <f>MAXIFS('B6_Training_Log'!$M$2:$M$1000,'B6_Training_Log'!$E$2:$E$1000,"SkillOAHS",'B6_Training_Log'!$F$2:$F$1000,"L",'B6_Training_Log'!$C$2:$C$1000,2)</f>
        <v>0</v>
      </c>
      <c r="D11" s="10">
        <f>MAXIFS('B6_Training_Log'!$M$2:$M$1000,'B6_Training_Log'!$E$2:$E$1000,"SkillOAHS",'B6_Training_Log'!$F$2:$F$1000,"L",'B6_Training_Log'!$C$2:$C$1000,3)</f>
        <v>0</v>
      </c>
      <c r="E11" s="10">
        <f>MAXIFS('B6_Training_Log'!$M$2:$M$1000,'B6_Training_Log'!$E$2:$E$1000,"SkillOAHS",'B6_Training_Log'!$F$2:$F$1000,"L",'B6_Training_Log'!$C$2:$C$1000,4)</f>
        <v>0</v>
      </c>
      <c r="F11" s="29">
        <f>MAXIFS('B6_Training_Log'!$M$2:$M$1000,'B6_Training_Log'!$E$2:$E$1000,"SkillOAHS",'B6_Training_Log'!$F$2:$F$1000,"L")</f>
        <v>0</v>
      </c>
    </row>
    <row r="12" spans="1:6">
      <c r="A12" s="9" t="s">
        <v>72</v>
      </c>
      <c r="B12" s="10">
        <f>MAXIFS('B6_Training_Log'!$M$2:$M$1000,'B6_Training_Log'!$E$2:$E$1000,"SkillOAHS",'B6_Training_Log'!$F$2:$F$1000,"R",'B6_Training_Log'!$C$2:$C$1000,1)</f>
        <v>0</v>
      </c>
      <c r="C12" s="10">
        <f>MAXIFS('B6_Training_Log'!$M$2:$M$1000,'B6_Training_Log'!$E$2:$E$1000,"SkillOAHS",'B6_Training_Log'!$F$2:$F$1000,"R",'B6_Training_Log'!$C$2:$C$1000,2)</f>
        <v>0</v>
      </c>
      <c r="D12" s="10">
        <f>MAXIFS('B6_Training_Log'!$M$2:$M$1000,'B6_Training_Log'!$E$2:$E$1000,"SkillOAHS",'B6_Training_Log'!$F$2:$F$1000,"R",'B6_Training_Log'!$C$2:$C$1000,3)</f>
        <v>0</v>
      </c>
      <c r="E12" s="10">
        <f>MAXIFS('B6_Training_Log'!$M$2:$M$1000,'B6_Training_Log'!$E$2:$E$1000,"SkillOAHS",'B6_Training_Log'!$F$2:$F$1000,"R",'B6_Training_Log'!$C$2:$C$1000,4)</f>
        <v>0</v>
      </c>
      <c r="F12" s="29">
        <f>MAXIFS('B6_Training_Log'!$M$2:$M$1000,'B6_Training_Log'!$E$2:$E$1000,"SkillOAHS",'B6_Training_Log'!$F$2:$F$1000,"R")</f>
        <v>0</v>
      </c>
    </row>
    <row r="13" spans="1:6">
      <c r="A13" s="9" t="s">
        <v>75</v>
      </c>
      <c r="B13" s="10">
        <f>MAXIFS('B6_Training_Log'!$M$2:$M$1000,'B6_Training_Log'!$E$2:$E$1000,"SkillFlag",'B6_Training_Log'!$F$2:$F$1000,"L",'B6_Training_Log'!$C$2:$C$1000,1)</f>
        <v>0</v>
      </c>
      <c r="C13" s="10">
        <f>MAXIFS('B6_Training_Log'!$M$2:$M$1000,'B6_Training_Log'!$E$2:$E$1000,"SkillFlag",'B6_Training_Log'!$F$2:$F$1000,"L",'B6_Training_Log'!$C$2:$C$1000,2)</f>
        <v>0</v>
      </c>
      <c r="D13" s="10">
        <f>MAXIFS('B6_Training_Log'!$M$2:$M$1000,'B6_Training_Log'!$E$2:$E$1000,"SkillFlag",'B6_Training_Log'!$F$2:$F$1000,"L",'B6_Training_Log'!$C$2:$C$1000,3)</f>
        <v>0</v>
      </c>
      <c r="E13" s="10">
        <f>MAXIFS('B6_Training_Log'!$M$2:$M$1000,'B6_Training_Log'!$E$2:$E$1000,"SkillFlag",'B6_Training_Log'!$F$2:$F$1000,"L",'B6_Training_Log'!$C$2:$C$1000,4)</f>
        <v>0</v>
      </c>
      <c r="F13" s="29">
        <f>MAXIFS('B6_Training_Log'!$M$2:$M$1000,'B6_Training_Log'!$E$2:$E$1000,"SkillFlag",'B6_Training_Log'!$F$2:$F$1000,"L")</f>
        <v>0</v>
      </c>
    </row>
    <row r="14" spans="1:6">
      <c r="A14" s="9" t="s">
        <v>77</v>
      </c>
      <c r="B14" s="10">
        <f>MAXIFS('B6_Training_Log'!$M$2:$M$1000,'B6_Training_Log'!$E$2:$E$1000,"SkillFlag",'B6_Training_Log'!$F$2:$F$1000,"R",'B6_Training_Log'!$C$2:$C$1000,1)</f>
        <v>0</v>
      </c>
      <c r="C14" s="10">
        <f>MAXIFS('B6_Training_Log'!$M$2:$M$1000,'B6_Training_Log'!$E$2:$E$1000,"SkillFlag",'B6_Training_Log'!$F$2:$F$1000,"R",'B6_Training_Log'!$C$2:$C$1000,2)</f>
        <v>0</v>
      </c>
      <c r="D14" s="10">
        <f>MAXIFS('B6_Training_Log'!$M$2:$M$1000,'B6_Training_Log'!$E$2:$E$1000,"SkillFlag",'B6_Training_Log'!$F$2:$F$1000,"R",'B6_Training_Log'!$C$2:$C$1000,3)</f>
        <v>0</v>
      </c>
      <c r="E14" s="10">
        <f>MAXIFS('B6_Training_Log'!$M$2:$M$1000,'B6_Training_Log'!$E$2:$E$1000,"SkillFlag",'B6_Training_Log'!$F$2:$F$1000,"R",'B6_Training_Log'!$C$2:$C$1000,4)</f>
        <v>0</v>
      </c>
      <c r="F14" s="29">
        <f>MAXIFS('B6_Training_Log'!$M$2:$M$1000,'B6_Training_Log'!$E$2:$E$1000,"SkillFlag",'B6_Training_Log'!$F$2:$F$1000,"R")</f>
        <v>0</v>
      </c>
    </row>
    <row r="15" spans="1:6">
      <c r="A15" s="9" t="s">
        <v>701</v>
      </c>
      <c r="B15" s="11">
        <f>SUMIFS('B6_Training_Log'!$G$2:$G$1000,'B6_Training_Log'!$E$2:$E$1000,"Core",'B6_Training_Log'!$C$2:$C$1000,1)</f>
        <v>0</v>
      </c>
      <c r="C15" s="11">
        <f>SUMIFS('B6_Training_Log'!$G$2:$G$1000,'B6_Training_Log'!$E$2:$E$1000,"Core",'B6_Training_Log'!$C$2:$C$1000,2)</f>
        <v>0</v>
      </c>
      <c r="D15" s="11">
        <f>SUMIFS('B6_Training_Log'!$G$2:$G$1000,'B6_Training_Log'!$E$2:$E$1000,"Core",'B6_Training_Log'!$C$2:$C$1000,3)</f>
        <v>0</v>
      </c>
      <c r="E15" s="11">
        <f>SUMIFS('B6_Training_Log'!$G$2:$G$1000,'B6_Training_Log'!$E$2:$E$1000,"Core",'B6_Training_Log'!$C$2:$C$1000,4)</f>
        <v>0</v>
      </c>
      <c r="F15" s="28">
        <f>SUMIFS('B6_Training_Log'!$G$2:$G$1000,'B6_Training_Log'!$E$2:$E$1000,"Core")</f>
        <v>0</v>
      </c>
    </row>
    <row r="16" spans="1:6">
      <c r="A16" s="9" t="s">
        <v>702</v>
      </c>
      <c r="B16" s="11">
        <f>IFERROR(AVERAGEIFS('B6_Training_Log'!$J$2:$J$1000,'B6_Training_Log'!$C$2:$C$1000,1),0)</f>
        <v>0</v>
      </c>
      <c r="C16" s="11">
        <f>IFERROR(AVERAGEIFS('B6_Training_Log'!$J$2:$J$1000,'B6_Training_Log'!$C$2:$C$1000,2),0)</f>
        <v>0</v>
      </c>
      <c r="D16" s="11">
        <f>IFERROR(AVERAGEIFS('B6_Training_Log'!$J$2:$J$1000,'B6_Training_Log'!$C$2:$C$1000,3),0)</f>
        <v>0</v>
      </c>
      <c r="E16" s="11">
        <f>IFERROR(AVERAGEIFS('B6_Training_Log'!$J$2:$J$1000,'B6_Training_Log'!$C$2:$C$1000,4),0)</f>
        <v>0</v>
      </c>
      <c r="F16" s="28">
        <f>IFERROR(AVERAGE('B6_Training_Log'!$J$2:$J$1000),0)</f>
        <v>0</v>
      </c>
    </row>
    <row r="17" spans="1:6">
      <c r="A17" s="9" t="s">
        <v>703</v>
      </c>
      <c r="B17" s="11">
        <f>IFERROR(AVERAGEIFS('B6_Training_Log'!$K$2:$K$1000,'B6_Training_Log'!$C$2:$C$1000,1),0)</f>
        <v>0</v>
      </c>
      <c r="C17" s="11">
        <f>IFERROR(AVERAGEIFS('B6_Training_Log'!$K$2:$K$1000,'B6_Training_Log'!$C$2:$C$1000,2),0)</f>
        <v>0</v>
      </c>
      <c r="D17" s="11">
        <f>IFERROR(AVERAGEIFS('B6_Training_Log'!$K$2:$K$1000,'B6_Training_Log'!$C$2:$C$1000,3),0)</f>
        <v>0</v>
      </c>
      <c r="E17" s="11">
        <f>IFERROR(AVERAGEIFS('B6_Training_Log'!$K$2:$K$1000,'B6_Training_Log'!$C$2:$C$1000,4),0)</f>
        <v>0</v>
      </c>
      <c r="F17" s="28">
        <f>IFERROR(AVERAGE('B6_Training_Log'!$K$2:$K$1000),0)</f>
        <v>0</v>
      </c>
    </row>
    <row r="18" spans="1:6">
      <c r="A18" s="9" t="s">
        <v>64</v>
      </c>
      <c r="B18" s="10">
        <f>COUNTIFS('B6_Training_Log'!$K$2:$K$1000,"&gt;=4",'B6_Training_Log'!$C$2:$C$1000,1)</f>
        <v>0</v>
      </c>
      <c r="C18" s="10">
        <f>COUNTIFS('B6_Training_Log'!$K$2:$K$1000,"&gt;=4",'B6_Training_Log'!$C$2:$C$1000,2)</f>
        <v>0</v>
      </c>
      <c r="D18" s="10">
        <f>COUNTIFS('B6_Training_Log'!$K$2:$K$1000,"&gt;=4",'B6_Training_Log'!$C$2:$C$1000,3)</f>
        <v>0</v>
      </c>
      <c r="E18" s="10">
        <f>COUNTIFS('B6_Training_Log'!$K$2:$K$1000,"&gt;=4",'B6_Training_Log'!$C$2:$C$1000,4)</f>
        <v>0</v>
      </c>
      <c r="F18" s="29">
        <f>COUNTIF('B6_Training_Log'!$K$2:$K$1000,"&gt;=4")</f>
        <v>0</v>
      </c>
    </row>
    <row r="19" spans="1:6">
      <c r="A19" s="9" t="s">
        <v>704</v>
      </c>
      <c r="B19" s="10">
        <f>COUNTIFS('B6_Training_Log'!$C$2:$C$1000,1)</f>
        <v>0</v>
      </c>
      <c r="C19" s="10">
        <f>COUNTIFS('B6_Training_Log'!$C$2:$C$1000,2)</f>
        <v>0</v>
      </c>
      <c r="D19" s="10">
        <f>COUNTIFS('B6_Training_Log'!$C$2:$C$1000,3)</f>
        <v>0</v>
      </c>
      <c r="E19" s="10">
        <f>COUNTIFS('B6_Training_Log'!$C$2:$C$1000,4)</f>
        <v>0</v>
      </c>
      <c r="F19" s="29">
        <f>COUNTA('B6_Training_Log'!$A$2:$A$1000)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705</v>
      </c>
      <c r="B1" s="1"/>
      <c r="C1" s="1"/>
      <c r="D1" s="1"/>
    </row>
    <row r="3" spans="1:4">
      <c r="A3" s="5" t="s">
        <v>706</v>
      </c>
      <c r="B3" s="5"/>
      <c r="C3" s="5"/>
      <c r="D3" s="5"/>
    </row>
    <row r="4" spans="1:4">
      <c r="A4" s="7" t="s">
        <v>707</v>
      </c>
      <c r="B4" s="7" t="s">
        <v>708</v>
      </c>
      <c r="C4" s="7" t="s">
        <v>709</v>
      </c>
      <c r="D4" s="7"/>
    </row>
    <row r="5" spans="1:4">
      <c r="A5" s="9" t="s">
        <v>519</v>
      </c>
      <c r="B5" s="4" t="s">
        <v>710</v>
      </c>
      <c r="C5" s="4" t="s">
        <v>711</v>
      </c>
      <c r="D5" s="4"/>
    </row>
    <row r="6" spans="1:4">
      <c r="A6" s="9" t="s">
        <v>520</v>
      </c>
      <c r="B6" s="4" t="s">
        <v>712</v>
      </c>
      <c r="C6" s="4" t="s">
        <v>713</v>
      </c>
      <c r="D6" s="4"/>
    </row>
    <row r="7" spans="1:4">
      <c r="A7" s="9" t="s">
        <v>521</v>
      </c>
      <c r="B7" s="4" t="s">
        <v>714</v>
      </c>
      <c r="C7" s="4" t="s">
        <v>715</v>
      </c>
      <c r="D7" s="4"/>
    </row>
    <row r="8" spans="1:4">
      <c r="A8" s="9" t="s">
        <v>358</v>
      </c>
      <c r="B8" s="4" t="s">
        <v>716</v>
      </c>
      <c r="C8" s="4" t="s">
        <v>717</v>
      </c>
      <c r="D8" s="4"/>
    </row>
    <row r="9" spans="1:4">
      <c r="A9" s="9" t="s">
        <v>361</v>
      </c>
      <c r="B9" s="4" t="s">
        <v>718</v>
      </c>
      <c r="C9" s="4" t="s">
        <v>719</v>
      </c>
      <c r="D9" s="4"/>
    </row>
    <row r="10" spans="1:4">
      <c r="A10" s="9" t="s">
        <v>522</v>
      </c>
      <c r="B10" s="4" t="s">
        <v>720</v>
      </c>
      <c r="C10" s="4" t="s">
        <v>721</v>
      </c>
      <c r="D10" s="4"/>
    </row>
    <row r="11" spans="1:4">
      <c r="A11" s="9" t="s">
        <v>523</v>
      </c>
      <c r="B11" s="4" t="s">
        <v>722</v>
      </c>
      <c r="C11" s="4" t="s">
        <v>723</v>
      </c>
      <c r="D11" s="4"/>
    </row>
    <row r="12" spans="1:4">
      <c r="A12" s="9" t="s">
        <v>524</v>
      </c>
      <c r="B12" s="4" t="s">
        <v>724</v>
      </c>
      <c r="C12" s="4" t="s">
        <v>725</v>
      </c>
      <c r="D12" s="4"/>
    </row>
    <row r="13" spans="1:4">
      <c r="A13" s="9" t="s">
        <v>525</v>
      </c>
      <c r="B13" s="4" t="s">
        <v>722</v>
      </c>
      <c r="C13" s="4" t="s">
        <v>726</v>
      </c>
      <c r="D13" s="4"/>
    </row>
    <row r="14" spans="1:4">
      <c r="A14" s="9" t="s">
        <v>526</v>
      </c>
      <c r="B14" s="4" t="s">
        <v>727</v>
      </c>
      <c r="C14" s="4" t="s">
        <v>728</v>
      </c>
      <c r="D14" s="4"/>
    </row>
    <row r="15" spans="1:4">
      <c r="A15" s="9" t="s">
        <v>527</v>
      </c>
      <c r="B15" s="4" t="s">
        <v>729</v>
      </c>
      <c r="C15" s="4" t="s">
        <v>730</v>
      </c>
      <c r="D15" s="4"/>
    </row>
    <row r="16" spans="1:4">
      <c r="A16" s="9" t="s">
        <v>528</v>
      </c>
      <c r="B16" s="4" t="s">
        <v>731</v>
      </c>
      <c r="C16" s="4" t="s">
        <v>732</v>
      </c>
      <c r="D16" s="4"/>
    </row>
    <row r="17" spans="1:4">
      <c r="A17" s="9" t="s">
        <v>529</v>
      </c>
      <c r="B17" s="4" t="s">
        <v>722</v>
      </c>
      <c r="C17" s="4" t="s">
        <v>733</v>
      </c>
      <c r="D17" s="4"/>
    </row>
    <row r="18" spans="1:4">
      <c r="A18" s="9" t="s">
        <v>530</v>
      </c>
      <c r="B18" s="4" t="s">
        <v>722</v>
      </c>
      <c r="C18" s="4" t="s">
        <v>734</v>
      </c>
      <c r="D18" s="4"/>
    </row>
    <row r="19" spans="1:4">
      <c r="A19" s="9" t="s">
        <v>90</v>
      </c>
      <c r="B19" s="4" t="s">
        <v>724</v>
      </c>
      <c r="C19" s="4" t="s">
        <v>735</v>
      </c>
      <c r="D19" s="4"/>
    </row>
    <row r="20" spans="1:4">
      <c r="A20" s="9" t="s">
        <v>531</v>
      </c>
      <c r="B20" s="4" t="s">
        <v>736</v>
      </c>
      <c r="C20" s="4" t="s">
        <v>737</v>
      </c>
      <c r="D20" s="4"/>
    </row>
    <row r="22" spans="1:4">
      <c r="A22" s="5" t="s">
        <v>738</v>
      </c>
      <c r="B22" s="5"/>
      <c r="C22" s="5"/>
      <c r="D22" s="5"/>
    </row>
    <row r="23" spans="1:4">
      <c r="A23" s="4" t="s">
        <v>739</v>
      </c>
      <c r="B23" s="4"/>
      <c r="C23" s="4"/>
      <c r="D23" s="4"/>
    </row>
    <row r="24" spans="1:4">
      <c r="A24" s="4" t="s">
        <v>740</v>
      </c>
      <c r="B24" s="4"/>
      <c r="C24" s="4"/>
      <c r="D24" s="4"/>
    </row>
    <row r="25" spans="1:4">
      <c r="A25" s="4" t="s">
        <v>741</v>
      </c>
      <c r="B25" s="4"/>
      <c r="C25" s="4"/>
      <c r="D25" s="4"/>
    </row>
    <row r="26" spans="1:4">
      <c r="A26" s="4" t="s">
        <v>742</v>
      </c>
      <c r="B26" s="4"/>
      <c r="C26" s="4"/>
      <c r="D26" s="4"/>
    </row>
    <row r="27" spans="1:4">
      <c r="A27" s="4" t="s">
        <v>743</v>
      </c>
      <c r="B27" s="4"/>
      <c r="C27" s="4"/>
      <c r="D27" s="4"/>
    </row>
    <row r="28" spans="1:4">
      <c r="A28" s="4" t="s">
        <v>744</v>
      </c>
      <c r="B28" s="4"/>
      <c r="C28" s="4"/>
      <c r="D28" s="4"/>
    </row>
    <row r="30" spans="1:4">
      <c r="A30" s="5" t="s">
        <v>745</v>
      </c>
      <c r="B30" s="5"/>
      <c r="C30" s="5"/>
      <c r="D30" s="5"/>
    </row>
    <row r="31" spans="1:4">
      <c r="A31" s="7" t="s">
        <v>746</v>
      </c>
      <c r="B31" s="7" t="s">
        <v>747</v>
      </c>
      <c r="C31" s="7" t="s">
        <v>748</v>
      </c>
      <c r="D31" s="7"/>
    </row>
    <row r="32" spans="1:4">
      <c r="A32" s="13" t="s">
        <v>47</v>
      </c>
      <c r="B32" s="4" t="s">
        <v>749</v>
      </c>
      <c r="C32" s="4" t="s">
        <v>750</v>
      </c>
      <c r="D32" s="4"/>
    </row>
    <row r="33" spans="1:4">
      <c r="A33" s="13" t="s">
        <v>33</v>
      </c>
      <c r="B33" s="4" t="s">
        <v>751</v>
      </c>
      <c r="C33" s="4" t="s">
        <v>752</v>
      </c>
      <c r="D33" s="4"/>
    </row>
    <row r="34" spans="1:4">
      <c r="A34" s="13" t="s">
        <v>32</v>
      </c>
      <c r="B34" s="4" t="s">
        <v>753</v>
      </c>
      <c r="C34" s="4" t="s">
        <v>754</v>
      </c>
      <c r="D34" s="4"/>
    </row>
    <row r="35" spans="1:4">
      <c r="A35" s="13" t="s">
        <v>297</v>
      </c>
      <c r="B35" s="4" t="s">
        <v>755</v>
      </c>
      <c r="C35" s="4" t="s">
        <v>756</v>
      </c>
      <c r="D35" s="4"/>
    </row>
    <row r="36" spans="1:4">
      <c r="A36" s="13" t="s">
        <v>757</v>
      </c>
      <c r="B36" s="4" t="s">
        <v>758</v>
      </c>
      <c r="C36" s="4" t="s">
        <v>759</v>
      </c>
      <c r="D36" s="4"/>
    </row>
    <row r="37" spans="1:4">
      <c r="A37" s="13" t="s">
        <v>561</v>
      </c>
      <c r="B37" s="4" t="s">
        <v>760</v>
      </c>
      <c r="C37" s="4" t="s">
        <v>761</v>
      </c>
      <c r="D37" s="4"/>
    </row>
    <row r="39" spans="1:4">
      <c r="A39" s="5" t="s">
        <v>762</v>
      </c>
      <c r="B39" s="5"/>
      <c r="C39" s="5"/>
      <c r="D39" s="5"/>
    </row>
    <row r="40" spans="1:4">
      <c r="A40" s="4" t="s">
        <v>763</v>
      </c>
      <c r="B40" s="4"/>
      <c r="C40" s="4"/>
      <c r="D40" s="4"/>
    </row>
    <row r="41" spans="1:4">
      <c r="A41" s="4" t="s">
        <v>764</v>
      </c>
      <c r="B41" s="4"/>
      <c r="C41" s="4"/>
      <c r="D41" s="4"/>
    </row>
    <row r="42" spans="1:4">
      <c r="A42" s="4" t="s">
        <v>765</v>
      </c>
      <c r="B42" s="4"/>
      <c r="C42" s="4"/>
      <c r="D42" s="4"/>
    </row>
    <row r="43" spans="1:4">
      <c r="A43" s="4" t="s">
        <v>766</v>
      </c>
      <c r="B43" s="4"/>
      <c r="C43" s="4"/>
      <c r="D43" s="4"/>
    </row>
    <row r="44" spans="1:4">
      <c r="A44" s="4" t="s">
        <v>767</v>
      </c>
      <c r="B44" s="4"/>
      <c r="C44" s="4"/>
      <c r="D44" s="4"/>
    </row>
    <row r="45" spans="1:4">
      <c r="A45" s="4" t="s">
        <v>768</v>
      </c>
      <c r="B45" s="4"/>
      <c r="C45" s="4"/>
      <c r="D45" s="4"/>
    </row>
    <row r="46" spans="1:4">
      <c r="A46" s="4" t="s">
        <v>769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2026-06-12T19:33:02Z</dcterms:created>
  <dcterms:modified xsi:type="dcterms:W3CDTF">2026-06-12T19:33:02Z</dcterms:modified>
</cp:coreProperties>
</file>